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25" yWindow="255" windowWidth="24630" windowHeight="12720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_xlnm.Print_Area" localSheetId="0">Лист1!$A:$K</definedName>
  </definedNames>
  <calcPr calcId="125725"/>
</workbook>
</file>

<file path=xl/calcChain.xml><?xml version="1.0" encoding="utf-8"?>
<calcChain xmlns="http://schemas.openxmlformats.org/spreadsheetml/2006/main">
  <c r="H7" i="1"/>
  <c r="L7"/>
  <c r="M7"/>
  <c r="N7"/>
  <c r="H8" l="1"/>
  <c r="K7"/>
  <c r="E8"/>
  <c r="F8"/>
  <c r="G8"/>
  <c r="I7"/>
  <c r="J7" s="1"/>
  <c r="I8" l="1"/>
  <c r="L8"/>
  <c r="M8"/>
  <c r="N8"/>
  <c r="J8"/>
  <c r="K8" l="1"/>
</calcChain>
</file>

<file path=xl/sharedStrings.xml><?xml version="1.0" encoding="utf-8"?>
<sst xmlns="http://schemas.openxmlformats.org/spreadsheetml/2006/main" count="20" uniqueCount="20">
  <si>
    <t>Ед. изм.</t>
  </si>
  <si>
    <t>Цена, руб.</t>
  </si>
  <si>
    <t>за ед.</t>
  </si>
  <si>
    <t>всего</t>
  </si>
  <si>
    <t>Коэффициент вариации</t>
  </si>
  <si>
    <t>Итого:</t>
  </si>
  <si>
    <t>за ед. с учетом округления до сотых</t>
  </si>
  <si>
    <t>№ п/п</t>
  </si>
  <si>
    <t>Объем товара, работ, услуг, (V)</t>
  </si>
  <si>
    <t>Коммерческие предложения (цена за ед. товара, работ, услуг), руб.</t>
  </si>
  <si>
    <t>Наименование бланка</t>
  </si>
  <si>
    <t xml:space="preserve">Расчет начальной (максимальной) цены контракта на закупку </t>
  </si>
  <si>
    <r>
      <t>"</t>
    </r>
    <r>
      <rPr>
        <b/>
        <u/>
        <sz val="12"/>
        <color theme="1"/>
        <rFont val="Times New Roman"/>
        <family val="1"/>
        <charset val="204"/>
      </rPr>
      <t>Поставка маркированных конвертов</t>
    </r>
    <r>
      <rPr>
        <b/>
        <sz val="12"/>
        <color theme="1"/>
        <rFont val="Times New Roman"/>
        <family val="1"/>
        <charset val="204"/>
      </rPr>
      <t>"</t>
    </r>
  </si>
  <si>
    <t>штука</t>
  </si>
  <si>
    <t>№ 1</t>
  </si>
  <si>
    <t>№ 2</t>
  </si>
  <si>
    <t>№ 3</t>
  </si>
  <si>
    <t>Конверт почтовый бумажный
 DL(110 * 220)-B-Вн-Мп-D</t>
  </si>
  <si>
    <t>И.о. заведующего сектором по рассмотрению обращений граждан и делопроизводству</t>
  </si>
  <si>
    <t>О.М. Бакун</t>
  </si>
</sst>
</file>

<file path=xl/styles.xml><?xml version="1.0" encoding="utf-8"?>
<styleSheet xmlns="http://schemas.openxmlformats.org/spreadsheetml/2006/main">
  <numFmts count="2">
    <numFmt numFmtId="164" formatCode="0_ ;[Red]\-0\ "/>
    <numFmt numFmtId="165" formatCode="#,##0.00000"/>
  </numFmts>
  <fonts count="9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0" fontId="0" fillId="2" borderId="5" xfId="0" applyFill="1" applyBorder="1"/>
    <xf numFmtId="0" fontId="0" fillId="0" borderId="0" xfId="0" applyBorder="1"/>
    <xf numFmtId="0" fontId="0" fillId="2" borderId="6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1" xfId="0" applyFont="1" applyFill="1" applyBorder="1"/>
    <xf numFmtId="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8" xfId="0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8" xfId="0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6" fillId="0" borderId="8" xfId="0" applyNumberFormat="1" applyFont="1" applyBorder="1" applyAlignment="1">
      <alignment horizontal="center" vertical="center" wrapText="1"/>
    </xf>
    <xf numFmtId="0" fontId="2" fillId="2" borderId="5" xfId="0" applyFont="1" applyFill="1" applyBorder="1"/>
    <xf numFmtId="164" fontId="5" fillId="0" borderId="8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4</xdr:row>
      <xdr:rowOff>0</xdr:rowOff>
    </xdr:from>
    <xdr:to>
      <xdr:col>6</xdr:col>
      <xdr:colOff>419100</xdr:colOff>
      <xdr:row>4</xdr:row>
      <xdr:rowOff>0</xdr:rowOff>
    </xdr:to>
    <xdr:pic>
      <xdr:nvPicPr>
        <xdr:cNvPr id="8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1104900"/>
          <a:ext cx="1647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0"/>
  <sheetViews>
    <sheetView tabSelected="1" zoomScale="85" zoomScaleNormal="85" workbookViewId="0">
      <selection activeCell="I1" sqref="I1:K1"/>
    </sheetView>
  </sheetViews>
  <sheetFormatPr defaultRowHeight="15"/>
  <cols>
    <col min="1" max="1" width="11.85546875" bestFit="1" customWidth="1"/>
    <col min="2" max="2" width="37.28515625" customWidth="1"/>
    <col min="3" max="3" width="11.42578125" customWidth="1"/>
    <col min="4" max="4" width="13.7109375" customWidth="1"/>
    <col min="5" max="7" width="16.7109375" customWidth="1"/>
    <col min="8" max="10" width="20.7109375" customWidth="1"/>
    <col min="11" max="11" width="15.7109375" style="3" customWidth="1"/>
    <col min="12" max="12" width="20" style="2" customWidth="1"/>
    <col min="13" max="13" width="13.7109375" style="1" customWidth="1"/>
    <col min="14" max="14" width="16.5703125" style="1" customWidth="1"/>
    <col min="15" max="15" width="16.7109375" style="1" customWidth="1"/>
    <col min="16" max="16" width="19.140625" style="1" customWidth="1"/>
  </cols>
  <sheetData>
    <row r="1" spans="1:16" ht="75" customHeight="1">
      <c r="H1" s="23"/>
      <c r="I1" s="34"/>
      <c r="J1" s="34"/>
      <c r="K1" s="34"/>
    </row>
    <row r="2" spans="1:16" ht="21" customHeight="1">
      <c r="A2" s="37" t="s">
        <v>11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6" ht="21" customHeight="1">
      <c r="A3" s="38" t="s">
        <v>12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6" ht="21" customHeight="1">
      <c r="B4" s="16"/>
      <c r="C4" s="16"/>
      <c r="D4" s="16"/>
      <c r="E4" s="16"/>
      <c r="F4" s="16"/>
      <c r="L4" s="6"/>
      <c r="M4" s="7"/>
      <c r="N4" s="7"/>
      <c r="O4" s="7"/>
      <c r="P4" s="7"/>
    </row>
    <row r="5" spans="1:16" ht="46.5" customHeight="1">
      <c r="A5" s="39" t="s">
        <v>7</v>
      </c>
      <c r="B5" s="39" t="s">
        <v>10</v>
      </c>
      <c r="C5" s="39" t="s">
        <v>0</v>
      </c>
      <c r="D5" s="39" t="s">
        <v>8</v>
      </c>
      <c r="E5" s="42" t="s">
        <v>9</v>
      </c>
      <c r="F5" s="43"/>
      <c r="G5" s="43"/>
      <c r="H5" s="40" t="s">
        <v>1</v>
      </c>
      <c r="I5" s="40"/>
      <c r="J5" s="41"/>
      <c r="K5" s="39" t="s">
        <v>4</v>
      </c>
      <c r="L5" s="27"/>
      <c r="M5" s="8"/>
      <c r="N5" s="8"/>
      <c r="O5" s="8"/>
      <c r="P5" s="8"/>
    </row>
    <row r="6" spans="1:16" ht="78.75" customHeight="1">
      <c r="A6" s="39"/>
      <c r="B6" s="44"/>
      <c r="C6" s="39"/>
      <c r="D6" s="39"/>
      <c r="E6" s="33" t="s">
        <v>14</v>
      </c>
      <c r="F6" s="33" t="s">
        <v>15</v>
      </c>
      <c r="G6" s="33" t="s">
        <v>16</v>
      </c>
      <c r="H6" s="10" t="s">
        <v>2</v>
      </c>
      <c r="I6" s="10" t="s">
        <v>6</v>
      </c>
      <c r="J6" s="24" t="s">
        <v>3</v>
      </c>
      <c r="K6" s="39"/>
      <c r="L6" s="27"/>
      <c r="M6" s="8"/>
      <c r="N6" s="8"/>
      <c r="O6" s="8"/>
      <c r="P6" s="8"/>
    </row>
    <row r="7" spans="1:16" ht="63" customHeight="1">
      <c r="A7" s="28">
        <v>1</v>
      </c>
      <c r="B7" s="30" t="s">
        <v>17</v>
      </c>
      <c r="C7" s="29" t="s">
        <v>13</v>
      </c>
      <c r="D7" s="21">
        <v>3000</v>
      </c>
      <c r="E7" s="32">
        <v>90</v>
      </c>
      <c r="F7" s="32">
        <v>90</v>
      </c>
      <c r="G7" s="31">
        <v>90</v>
      </c>
      <c r="H7" s="14">
        <f t="shared" ref="H7" si="0">(E7+F7+G7)/3</f>
        <v>90</v>
      </c>
      <c r="I7" s="9">
        <f t="shared" ref="I7" si="1">ROUND(H7,2)</f>
        <v>90</v>
      </c>
      <c r="J7" s="25">
        <f t="shared" ref="J7" si="2">D7*I7</f>
        <v>270000</v>
      </c>
      <c r="K7" s="11">
        <f t="shared" ref="K7:K8" si="3">(SUM($L7:$N7)/(COUNTA($E7:$G7) - 1))^0.5 / (SUM($E7:$G7)/COUNTA($E7:$G7))</f>
        <v>0</v>
      </c>
      <c r="L7" s="27">
        <f t="shared" ref="L7:N7" si="4">(E7 - (SUM($E7:$G7)/COUNTA($E7:$G7)))^2</f>
        <v>0</v>
      </c>
      <c r="M7" s="8">
        <f t="shared" si="4"/>
        <v>0</v>
      </c>
      <c r="N7" s="8">
        <f t="shared" si="4"/>
        <v>0</v>
      </c>
      <c r="O7" s="8"/>
      <c r="P7" s="8"/>
    </row>
    <row r="8" spans="1:16" ht="17.100000000000001" customHeight="1">
      <c r="A8" s="35" t="s">
        <v>5</v>
      </c>
      <c r="B8" s="36"/>
      <c r="C8" s="12"/>
      <c r="D8" s="12">
        <v>3000</v>
      </c>
      <c r="E8" s="22">
        <f t="shared" ref="E8:J8" si="5">SUM(E7:E7)</f>
        <v>90</v>
      </c>
      <c r="F8" s="22">
        <f t="shared" si="5"/>
        <v>90</v>
      </c>
      <c r="G8" s="13">
        <f t="shared" si="5"/>
        <v>90</v>
      </c>
      <c r="H8" s="15">
        <f t="shared" si="5"/>
        <v>90</v>
      </c>
      <c r="I8" s="13">
        <f t="shared" si="5"/>
        <v>90</v>
      </c>
      <c r="J8" s="26">
        <f t="shared" si="5"/>
        <v>270000</v>
      </c>
      <c r="K8" s="17">
        <f t="shared" si="3"/>
        <v>0</v>
      </c>
      <c r="L8" s="27">
        <f>(E8 - (SUM($E8:$G8)/COUNTA($E8:$G8)))^2</f>
        <v>0</v>
      </c>
      <c r="M8" s="8">
        <f>(F8 - (SUM($E8:$G8)/COUNTA($E8:$G8)))^2</f>
        <v>0</v>
      </c>
      <c r="N8" s="8">
        <f>(G8 - (SUM($E8:$G8)/COUNTA($E8:$G8)))^2</f>
        <v>0</v>
      </c>
      <c r="O8" s="8"/>
      <c r="P8" s="8"/>
    </row>
    <row r="9" spans="1:16">
      <c r="L9" s="4"/>
      <c r="M9" s="5"/>
      <c r="N9" s="5"/>
      <c r="O9" s="5"/>
      <c r="P9" s="5"/>
    </row>
    <row r="10" spans="1:16">
      <c r="J10" s="3"/>
    </row>
    <row r="11" spans="1:16" ht="15.75">
      <c r="A11" s="19"/>
      <c r="B11" s="18"/>
      <c r="C11" s="18"/>
      <c r="D11" s="18"/>
      <c r="E11" s="18"/>
      <c r="F11" s="18"/>
      <c r="G11" s="18"/>
      <c r="H11" s="19"/>
      <c r="I11" s="18"/>
    </row>
    <row r="12" spans="1:16" ht="15.75">
      <c r="A12" s="20"/>
      <c r="B12" s="18"/>
      <c r="C12" s="18"/>
      <c r="D12" s="18"/>
      <c r="E12" s="18"/>
      <c r="F12" s="18"/>
      <c r="G12" s="18"/>
      <c r="H12" s="18"/>
      <c r="I12" s="18"/>
    </row>
    <row r="13" spans="1:16" ht="15.75">
      <c r="A13" s="19" t="s">
        <v>18</v>
      </c>
      <c r="B13" s="18"/>
      <c r="C13" s="18"/>
      <c r="D13" s="18"/>
      <c r="E13" s="18"/>
      <c r="F13" s="18"/>
      <c r="G13" s="18"/>
      <c r="H13" s="18"/>
      <c r="I13" s="19" t="s">
        <v>19</v>
      </c>
      <c r="J13" s="18"/>
    </row>
    <row r="14" spans="1:16" ht="15.75">
      <c r="A14" s="20"/>
      <c r="B14" s="18"/>
      <c r="C14" s="18"/>
      <c r="D14" s="18"/>
      <c r="E14" s="18"/>
      <c r="F14" s="18"/>
      <c r="G14" s="18"/>
      <c r="H14" s="18"/>
      <c r="I14" s="18"/>
    </row>
    <row r="15" spans="1:16">
      <c r="A15" s="18"/>
      <c r="B15" s="18"/>
      <c r="C15" s="18"/>
      <c r="D15" s="18"/>
      <c r="E15" s="18"/>
      <c r="F15" s="18"/>
      <c r="G15" s="18"/>
      <c r="H15" s="18"/>
      <c r="I15" s="18"/>
    </row>
    <row r="17" spans="1:10">
      <c r="J17" s="18"/>
    </row>
    <row r="18" spans="1:10" ht="15.75">
      <c r="J18" s="19"/>
    </row>
    <row r="19" spans="1:10" ht="15.75">
      <c r="A19" s="19"/>
      <c r="B19" s="18"/>
      <c r="C19" s="18"/>
      <c r="D19" s="18"/>
      <c r="E19" s="18"/>
      <c r="F19" s="18"/>
      <c r="G19" s="18"/>
      <c r="H19" s="18"/>
      <c r="I19" s="18"/>
    </row>
    <row r="20" spans="1:10" ht="15.75">
      <c r="A20" s="19"/>
      <c r="B20" s="18"/>
      <c r="C20" s="18"/>
      <c r="D20" s="18"/>
      <c r="E20" s="18"/>
      <c r="F20" s="18"/>
      <c r="G20" s="18"/>
      <c r="H20" s="18"/>
      <c r="I20" s="19"/>
    </row>
  </sheetData>
  <mergeCells count="11">
    <mergeCell ref="I1:K1"/>
    <mergeCell ref="A8:B8"/>
    <mergeCell ref="A2:K2"/>
    <mergeCell ref="A3:K3"/>
    <mergeCell ref="K5:K6"/>
    <mergeCell ref="H5:J5"/>
    <mergeCell ref="E5:G5"/>
    <mergeCell ref="B5:B6"/>
    <mergeCell ref="C5:C6"/>
    <mergeCell ref="D5:D6"/>
    <mergeCell ref="A5:A6"/>
  </mergeCells>
  <printOptions horizontalCentered="1"/>
  <pageMargins left="0.19685039370078741" right="0.19685039370078741" top="0.98425196850393704" bottom="0.47244094488188981" header="0.31496062992125984" footer="0.27559055118110237"/>
  <pageSetup paperSize="9" scale="71" fitToHeight="1000" orientation="landscape" r:id="rId1"/>
  <headerFooter>
    <oddFooter>&amp;CСтраница &amp; &amp;P из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Лист1!Область_печати</vt:lpstr>
    </vt:vector>
  </TitlesOfParts>
  <Company>ДМС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Рощин В А</dc:creator>
  <cp:lastModifiedBy>bondarev</cp:lastModifiedBy>
  <cp:lastPrinted>2025-11-13T04:55:18Z</cp:lastPrinted>
  <dcterms:created xsi:type="dcterms:W3CDTF">2013-10-23T23:47:07Z</dcterms:created>
  <dcterms:modified xsi:type="dcterms:W3CDTF">2025-11-26T02:34:29Z</dcterms:modified>
</cp:coreProperties>
</file>