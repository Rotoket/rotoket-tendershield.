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-fs2\Департамент контрактной службы\Евсеева ЕВ_ППК_27082021_\ТОРГИ_223\Запрос котировок _ЭФ\211 ЭЗК МСП-12_2025_тех поддержка VK WorkMail\На размещение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1" l="1"/>
  <c r="K7" i="1" s="1"/>
  <c r="I6" i="1"/>
  <c r="I7" i="1" s="1"/>
  <c r="G6" i="1"/>
  <c r="M6" i="1" s="1"/>
  <c r="L6" i="1"/>
  <c r="M7" i="1" l="1"/>
  <c r="G7" i="1"/>
</calcChain>
</file>

<file path=xl/sharedStrings.xml><?xml version="1.0" encoding="utf-8"?>
<sst xmlns="http://schemas.openxmlformats.org/spreadsheetml/2006/main" count="25" uniqueCount="23">
  <si>
    <t xml:space="preserve">Наименование </t>
  </si>
  <si>
    <t>Ед. изм.</t>
  </si>
  <si>
    <t xml:space="preserve"> Изучена ценовая информация (коммерческие предложения) 4 (четырех) потенциальных исполнителей:   </t>
  </si>
  <si>
    <t>Штука</t>
  </si>
  <si>
    <t>Количество лицензий</t>
  </si>
  <si>
    <t>Предмет закупки</t>
  </si>
  <si>
    <t>ИТОГО:</t>
  </si>
  <si>
    <t>Оказание услуг по предоставлению доступа к базовой технической поддержке на программное обеспечение Почта для домена / VK WorkMail</t>
  </si>
  <si>
    <r>
      <t xml:space="preserve">Обоснование и определение (расчет) начальной (максимальной) цены договора
</t>
    </r>
    <r>
      <rPr>
        <sz val="12"/>
        <color theme="1"/>
        <rFont val="Times New Roman"/>
        <family val="1"/>
        <charset val="204"/>
      </rPr>
      <t>на оказание услуг по предоставлению доступа к базовой технической поддержке на программное обеспечение Почта для домена / VK WorkMail</t>
    </r>
  </si>
  <si>
    <t>Цена за единицу, руб. в.т. НДС 20%</t>
  </si>
  <si>
    <t>Общая стоимость, руб. в.т. НДС 20%</t>
  </si>
  <si>
    <t>Средняя цена за 1 единицу, руб. в.т. НДС 20%</t>
  </si>
  <si>
    <t>Средняя стоимость, руб. в т.ч. НДС 20%</t>
  </si>
  <si>
    <t>№
п/п</t>
  </si>
  <si>
    <t>Доступ к базовой технической поддержке на программное обеспечение Почта для домена / VK WorkMail на 2000 пользователей</t>
  </si>
  <si>
    <t>Цена за единицу, руб. без НДС*</t>
  </si>
  <si>
    <t>Общая стоимость, руб. без НДС*</t>
  </si>
  <si>
    <t>* НДС не облагается, УСН</t>
  </si>
  <si>
    <t>Начальная (максимальная) цена договора определена в размере 6 323 245 (Шесть миллионов триста двадцать три тысячи двести сорок пять) рубль 50 копеек, включая НДС 20% в размере 1 053 874 (Один миллион пятьдесят три тысячи восемьсот семьдесят четыре) рубля 25 копеек</t>
  </si>
  <si>
    <t>Приложение №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к Извещению о проведении запроса котировок</t>
  </si>
  <si>
    <t xml:space="preserve">Коммерческое предложение
№ </t>
  </si>
  <si>
    <t>Коммерческое предложение
№ 2</t>
  </si>
  <si>
    <t>Коммерческое предложение
№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</si>
</sst>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₽&quot;_-;\-* #,##0.00\ &quot;₽&quot;_-;_-* &quot;-&quot;??\ &quot;₽&quot;_-;_-@_-"/>
    <numFmt numFmtId="164" formatCode="_-* #,##0.0&quot;р.&quot;_-;\-* #,##0.0&quot;р.&quot;_-;_-* &quot;-&quot;??&quot;р.&quot;_-;_-@_-"/>
    <numFmt numFmtId="165" formatCode="#,##0.00\ &quot;₽&quot;"/>
    <numFmt numFmtId="166" formatCode="#,##0.00\ _₽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164" fontId="4" fillId="0" borderId="2" xfId="1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top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1" fontId="3" fillId="0" borderId="2" xfId="0" applyNumberFormat="1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6" fillId="2" borderId="5" xfId="0" applyNumberFormat="1" applyFont="1" applyFill="1" applyBorder="1" applyAlignment="1">
      <alignment horizontal="center" vertical="center" wrapText="1"/>
    </xf>
    <xf numFmtId="4" fontId="8" fillId="2" borderId="2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topLeftCell="A4" zoomScale="85" zoomScaleNormal="85" workbookViewId="0">
      <selection activeCell="K5" sqref="K5"/>
    </sheetView>
  </sheetViews>
  <sheetFormatPr defaultRowHeight="14.4" x14ac:dyDescent="0.3"/>
  <cols>
    <col min="1" max="1" width="8.5546875" customWidth="1"/>
    <col min="2" max="2" width="33.44140625" customWidth="1"/>
    <col min="3" max="3" width="34.44140625" customWidth="1"/>
    <col min="4" max="4" width="11" customWidth="1"/>
    <col min="5" max="5" width="14.6640625" customWidth="1"/>
    <col min="6" max="6" width="15.6640625" style="5" customWidth="1"/>
    <col min="7" max="7" width="16.109375" style="5" customWidth="1"/>
    <col min="8" max="11" width="15.6640625" customWidth="1"/>
    <col min="12" max="13" width="18" customWidth="1"/>
    <col min="14" max="14" width="13" customWidth="1"/>
    <col min="16" max="16" width="15" customWidth="1"/>
  </cols>
  <sheetData>
    <row r="1" spans="1:18" ht="50.4" customHeight="1" x14ac:dyDescent="0.3">
      <c r="A1" s="20" t="s">
        <v>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8" ht="80.25" customHeight="1" x14ac:dyDescent="0.3">
      <c r="A2" s="21" t="s">
        <v>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8" ht="15.6" x14ac:dyDescent="0.3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8" ht="78.75" customHeight="1" x14ac:dyDescent="0.3">
      <c r="A4" s="23" t="s">
        <v>13</v>
      </c>
      <c r="B4" s="31" t="s">
        <v>5</v>
      </c>
      <c r="C4" s="24" t="s">
        <v>0</v>
      </c>
      <c r="D4" s="24" t="s">
        <v>1</v>
      </c>
      <c r="E4" s="25" t="s">
        <v>4</v>
      </c>
      <c r="F4" s="33" t="s">
        <v>20</v>
      </c>
      <c r="G4" s="34"/>
      <c r="H4" s="33" t="s">
        <v>21</v>
      </c>
      <c r="I4" s="34"/>
      <c r="J4" s="33" t="s">
        <v>22</v>
      </c>
      <c r="K4" s="34"/>
      <c r="L4" s="23" t="s">
        <v>11</v>
      </c>
      <c r="M4" s="23" t="s">
        <v>12</v>
      </c>
    </row>
    <row r="5" spans="1:18" ht="62.4" x14ac:dyDescent="0.3">
      <c r="A5" s="24"/>
      <c r="B5" s="32"/>
      <c r="C5" s="24"/>
      <c r="D5" s="24"/>
      <c r="E5" s="26"/>
      <c r="F5" s="1" t="s">
        <v>9</v>
      </c>
      <c r="G5" s="1" t="s">
        <v>10</v>
      </c>
      <c r="H5" s="1" t="s">
        <v>9</v>
      </c>
      <c r="I5" s="1" t="s">
        <v>10</v>
      </c>
      <c r="J5" s="1" t="s">
        <v>15</v>
      </c>
      <c r="K5" s="1" t="s">
        <v>16</v>
      </c>
      <c r="L5" s="23"/>
      <c r="M5" s="23"/>
    </row>
    <row r="6" spans="1:18" ht="110.25" customHeight="1" x14ac:dyDescent="0.3">
      <c r="A6" s="6">
        <v>1</v>
      </c>
      <c r="B6" s="16" t="s">
        <v>7</v>
      </c>
      <c r="C6" s="8" t="s">
        <v>14</v>
      </c>
      <c r="D6" s="10" t="s">
        <v>3</v>
      </c>
      <c r="E6" s="10">
        <v>1</v>
      </c>
      <c r="F6" s="11">
        <v>6269736</v>
      </c>
      <c r="G6" s="11">
        <f>E6*F6</f>
        <v>6269736</v>
      </c>
      <c r="H6" s="11">
        <v>6300000.5</v>
      </c>
      <c r="I6" s="11">
        <f>E6*H6</f>
        <v>6300000.5</v>
      </c>
      <c r="J6" s="11">
        <v>6400000</v>
      </c>
      <c r="K6" s="17">
        <f>E6*J6</f>
        <v>6400000</v>
      </c>
      <c r="L6" s="15">
        <f>(F6+H6+J6)/3</f>
        <v>6323245.5</v>
      </c>
      <c r="M6" s="19">
        <f>(G6+I6+K6)/3</f>
        <v>6323245.5</v>
      </c>
    </row>
    <row r="7" spans="1:18" ht="15.6" x14ac:dyDescent="0.3">
      <c r="A7" s="35" t="s">
        <v>6</v>
      </c>
      <c r="B7" s="36"/>
      <c r="C7" s="36"/>
      <c r="D7" s="9"/>
      <c r="E7" s="14"/>
      <c r="F7" s="11"/>
      <c r="G7" s="11">
        <f>SUM(G6:G6)</f>
        <v>6269736</v>
      </c>
      <c r="H7" s="11"/>
      <c r="I7" s="11">
        <f>SUM(I6:I6)</f>
        <v>6300000.5</v>
      </c>
      <c r="J7" s="11"/>
      <c r="K7" s="11">
        <f>SUM(K6:K6)</f>
        <v>6400000</v>
      </c>
      <c r="L7" s="11"/>
      <c r="M7" s="18">
        <f>SUM(M6:M6)</f>
        <v>6323245.5</v>
      </c>
    </row>
    <row r="8" spans="1:18" ht="15.6" customHeight="1" x14ac:dyDescent="0.3">
      <c r="A8" s="29" t="s">
        <v>17</v>
      </c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8" ht="15.6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12"/>
    </row>
    <row r="10" spans="1:18" ht="15.6" x14ac:dyDescent="0.3">
      <c r="A10" s="27" t="s">
        <v>18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"/>
      <c r="O10" s="2"/>
      <c r="P10" s="2"/>
      <c r="Q10" s="2"/>
      <c r="R10" s="2"/>
    </row>
    <row r="11" spans="1:18" ht="30" customHeight="1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"/>
      <c r="O11" s="2"/>
      <c r="P11" s="2"/>
      <c r="Q11" s="2"/>
      <c r="R11" s="2"/>
    </row>
    <row r="12" spans="1:18" ht="15.6" x14ac:dyDescent="0.3">
      <c r="A12" s="3"/>
      <c r="B12" s="3"/>
      <c r="C12" s="3"/>
      <c r="D12" s="3"/>
      <c r="E12" s="3"/>
      <c r="F12" s="4"/>
      <c r="G12" s="4"/>
      <c r="H12" s="13"/>
      <c r="I12" s="13"/>
      <c r="J12" s="7"/>
      <c r="K12" s="13"/>
      <c r="L12" s="3"/>
    </row>
    <row r="14" spans="1:18" x14ac:dyDescent="0.3">
      <c r="D14" s="3"/>
      <c r="E14" s="3"/>
    </row>
  </sheetData>
  <mergeCells count="17">
    <mergeCell ref="A10:M11"/>
    <mergeCell ref="L4:L5"/>
    <mergeCell ref="M4:M5"/>
    <mergeCell ref="A9:L9"/>
    <mergeCell ref="A8:M8"/>
    <mergeCell ref="B4:B5"/>
    <mergeCell ref="F4:G4"/>
    <mergeCell ref="H4:I4"/>
    <mergeCell ref="J4:K4"/>
    <mergeCell ref="A7:C7"/>
    <mergeCell ref="A1:M1"/>
    <mergeCell ref="A2:M2"/>
    <mergeCell ref="A3:M3"/>
    <mergeCell ref="A4:A5"/>
    <mergeCell ref="C4:C5"/>
    <mergeCell ref="D4:D5"/>
    <mergeCell ref="E4:E5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Литвинова Наталья Николаевна</dc:creator>
  <cp:lastModifiedBy>Белова Мария Викторовна</cp:lastModifiedBy>
  <cp:lastPrinted>2021-11-09T20:53:38Z</cp:lastPrinted>
  <dcterms:created xsi:type="dcterms:W3CDTF">2021-11-09T20:23:44Z</dcterms:created>
  <dcterms:modified xsi:type="dcterms:W3CDTF">2025-12-05T13:48:15Z</dcterms:modified>
</cp:coreProperties>
</file>