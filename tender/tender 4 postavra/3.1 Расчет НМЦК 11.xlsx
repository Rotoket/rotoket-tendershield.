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2025 ТОРГИ\АУДД\22. Диспетческая разбивка\22.2 ДГУ Диспетчерская ИТС\"/>
    </mc:Choice>
  </mc:AlternateContent>
  <bookViews>
    <workbookView xWindow="0" yWindow="0" windowWidth="28800" windowHeight="10830"/>
  </bookViews>
  <sheets>
    <sheet name="СКЗИ" sheetId="5" r:id="rId1"/>
  </sheets>
  <definedNames>
    <definedName name="_xlnm.Print_Area" localSheetId="0">СКЗИ!$A$1:$M$27</definedName>
  </definedNames>
  <calcPr calcId="162913"/>
</workbook>
</file>

<file path=xl/calcChain.xml><?xml version="1.0" encoding="utf-8"?>
<calcChain xmlns="http://schemas.openxmlformats.org/spreadsheetml/2006/main">
  <c r="D16" i="5" l="1"/>
  <c r="G16" i="5"/>
  <c r="F16" i="5"/>
  <c r="E16" i="5"/>
  <c r="H15" i="5" l="1"/>
  <c r="J15" i="5" s="1"/>
  <c r="K15" i="5" s="1"/>
  <c r="L15" i="5"/>
  <c r="M15" i="5" s="1"/>
  <c r="H17" i="5" l="1"/>
  <c r="H16" i="5" l="1"/>
  <c r="J16" i="5" s="1"/>
  <c r="K16" i="5" s="1"/>
  <c r="M16" i="5" l="1"/>
  <c r="M17" i="5" l="1"/>
  <c r="M18" i="5" s="1"/>
</calcChain>
</file>

<file path=xl/sharedStrings.xml><?xml version="1.0" encoding="utf-8"?>
<sst xmlns="http://schemas.openxmlformats.org/spreadsheetml/2006/main" count="38" uniqueCount="38">
  <si>
    <t>№</t>
  </si>
  <si>
    <t>Ед. изм</t>
  </si>
  <si>
    <t>Кол-во</t>
  </si>
  <si>
    <t>Среднее квадратичное отклонение</t>
  </si>
  <si>
    <t>Н(М)ЦК, ЦКЕП контракта с учетом округления цены за единицу (руб.)</t>
  </si>
  <si>
    <t xml:space="preserve">* При определении Н(М)ЦК, ЦКЕП контракта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 Данный Приказ не учитывает, что применение утвержденных формул определения Н(М)ЦК, ЦКЕП, может привести к формированию цены контракта и цены за единицу товара (работы, услуги) с дробными значениями (количество знаков после запятой превышает 2). Большинство бухгалтерских программ, а также программное обеспечение реестра контрактов не позволяет проводить операции с такими значениями. Поэтому в случае необходимости Заказчиком применяется округление  (вниз) таких показателей.
</t>
  </si>
  <si>
    <t>Оценка однородности совокупности значений выявленных цен, используемых в расчете Н(М)ЦК, ЦКЕП</t>
  </si>
  <si>
    <t>Ценовые предложения (руб./ед.изм.)</t>
  </si>
  <si>
    <t>(подпись)</t>
  </si>
  <si>
    <t>Расчет Н(М)ЦК по формуле             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</si>
  <si>
    <r>
      <t xml:space="preserve">коэффициент вариации цен      V (%) &lt;33         </t>
    </r>
    <r>
      <rPr>
        <i/>
        <sz val="10"/>
        <color indexed="8"/>
        <rFont val="Times New Roman"/>
        <family val="1"/>
        <charset val="204"/>
      </rPr>
      <t xml:space="preserve">        </t>
    </r>
  </si>
  <si>
    <t>НДС 20%</t>
  </si>
  <si>
    <t>ВСЕГО:</t>
  </si>
  <si>
    <t>Расчет начальной (максимальной) цены контракта</t>
  </si>
  <si>
    <t>Утверждаю</t>
  </si>
  <si>
    <t>Заказчик:</t>
  </si>
  <si>
    <t>ОГКУ «Дирекция автодорог»</t>
  </si>
  <si>
    <t xml:space="preserve">«____»____________20___ г. </t>
  </si>
  <si>
    <t xml:space="preserve">        м.п.</t>
  </si>
  <si>
    <t>ИТОГО</t>
  </si>
  <si>
    <t xml:space="preserve">Заместитель директора  </t>
  </si>
  <si>
    <t>(Ф.И.О. руководителя)         (подпись)</t>
  </si>
  <si>
    <t xml:space="preserve">* При определении Н(М)ЦК, ЦКЕП контракта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 </t>
  </si>
  <si>
    <t>ИТОГО:</t>
  </si>
  <si>
    <t>А.Р. Хамидулин /_______________</t>
  </si>
  <si>
    <t>Н(М)ЦК, ЦКЕП, определяемая методом сопоставимых рыночных цен (анализа рынка)**</t>
  </si>
  <si>
    <t>Средняя арифметическая цена за единицу     &lt;ц&gt; *</t>
  </si>
  <si>
    <t>шт.</t>
  </si>
  <si>
    <t>Поставка дизельной электростанции в рамках создания и внедрения интеллектуальной транспортной системы в Иркутской городской агломерации</t>
  </si>
  <si>
    <t>Начальник отдела автоматизированного управления дорожным движением</t>
  </si>
  <si>
    <t>И.Д. Матвеенко</t>
  </si>
  <si>
    <t>Цена контракта, заключаемая с Поставщиков, определена методом сопоставимых рыночных цен на основании направленных запросов о предоставлении ценовой информации  потенциальным Поставщиком, в том числе имевших в течение последних трех лет, предшествующих определению Н(М)ЦК, опыт выполнения аналогичных контрактов, заключенных с заказчиком и (или) другими заказчиками. Всего рассмотрено 3 (три) ценовых предложения потенциальных Поставщиков.</t>
  </si>
  <si>
    <t>Наименование закупаемого товара</t>
  </si>
  <si>
    <t>Установка электрогенераторная</t>
  </si>
  <si>
    <t>Начальная (максимальная) цена контракта 5 821 426 (Пять миллионов восемьсот двадцать одна тысяча четыреста двадцать шесть) 83 копейки.</t>
  </si>
  <si>
    <t>Поставщик №2                    № Вх (61-2)-6942/25 от 20.10.2025</t>
  </si>
  <si>
    <t>Поставщик №1                    № Вх (61-2)-6941/25 от 20.10.2025</t>
  </si>
  <si>
    <t>Поставщик №3                    № Вх (61-2)-7039/25 от 23.10.2025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</si>
</sst>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#,##0.0"/>
    <numFmt numFmtId="166" formatCode="#,##0.00\ &quot;₽&quot;"/>
  </numFmts>
  <fonts count="17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/>
    <xf numFmtId="0" fontId="7" fillId="0" borderId="1" xfId="0" applyFont="1" applyBorder="1" applyAlignment="1">
      <alignment horizontal="center" vertical="top" wrapText="1"/>
    </xf>
    <xf numFmtId="0" fontId="5" fillId="0" borderId="0" xfId="0" applyFont="1" applyFill="1" applyAlignment="1" applyProtection="1">
      <alignment vertical="center"/>
      <protection locked="0"/>
    </xf>
    <xf numFmtId="0" fontId="9" fillId="0" borderId="0" xfId="0" applyFont="1"/>
    <xf numFmtId="0" fontId="6" fillId="0" borderId="0" xfId="0" applyFont="1"/>
    <xf numFmtId="0" fontId="10" fillId="0" borderId="0" xfId="0" applyFont="1" applyBorder="1" applyAlignment="1">
      <alignment horizontal="justify" wrapText="1"/>
    </xf>
    <xf numFmtId="0" fontId="1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9" fillId="0" borderId="0" xfId="0" applyFont="1" applyAlignment="1"/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4" fontId="7" fillId="0" borderId="0" xfId="0" applyNumberFormat="1" applyFont="1" applyAlignment="1">
      <alignment horizontal="center" vertical="center"/>
    </xf>
    <xf numFmtId="4" fontId="5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wrapText="1"/>
      <protection locked="0"/>
    </xf>
    <xf numFmtId="0" fontId="10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7" fillId="0" borderId="0" xfId="0" applyFont="1" applyAlignment="1">
      <alignment horizontal="left" wrapText="1"/>
    </xf>
    <xf numFmtId="0" fontId="14" fillId="0" borderId="1" xfId="0" applyFont="1" applyFill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4" fontId="5" fillId="2" borderId="0" xfId="0" applyNumberFormat="1" applyFont="1" applyFill="1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164" fontId="1" fillId="0" borderId="0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wrapText="1"/>
    </xf>
    <xf numFmtId="0" fontId="6" fillId="2" borderId="0" xfId="0" applyFont="1" applyFill="1" applyAlignment="1" applyProtection="1">
      <alignment horizont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6" fillId="0" borderId="0" xfId="0" applyFont="1" applyAlignment="1" applyProtection="1">
      <alignment horizontal="left" vertical="top" wrapText="1"/>
      <protection locked="0"/>
    </xf>
    <xf numFmtId="0" fontId="16" fillId="2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7" fillId="0" borderId="0" xfId="0" applyFont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6" fillId="2" borderId="0" xfId="0" applyFont="1" applyFill="1" applyAlignment="1" applyProtection="1">
      <alignment horizontal="center"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13</xdr:row>
      <xdr:rowOff>952500</xdr:rowOff>
    </xdr:from>
    <xdr:to>
      <xdr:col>10</xdr:col>
      <xdr:colOff>843643</xdr:colOff>
      <xdr:row>13</xdr:row>
      <xdr:rowOff>1304925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5" y="2133600"/>
          <a:ext cx="824593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37041</xdr:colOff>
      <xdr:row>13</xdr:row>
      <xdr:rowOff>947208</xdr:rowOff>
    </xdr:from>
    <xdr:to>
      <xdr:col>9</xdr:col>
      <xdr:colOff>860273</xdr:colOff>
      <xdr:row>13</xdr:row>
      <xdr:rowOff>1385358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24458" y="4778375"/>
          <a:ext cx="823232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937932</xdr:colOff>
      <xdr:row>13</xdr:row>
      <xdr:rowOff>1600200</xdr:rowOff>
    </xdr:from>
    <xdr:to>
      <xdr:col>11</xdr:col>
      <xdr:colOff>1385607</xdr:colOff>
      <xdr:row>13</xdr:row>
      <xdr:rowOff>1962150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139207" y="2781300"/>
          <a:ext cx="14001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266700</xdr:colOff>
      <xdr:row>13</xdr:row>
      <xdr:rowOff>1400175</xdr:rowOff>
    </xdr:from>
    <xdr:to>
      <xdr:col>11</xdr:col>
      <xdr:colOff>419100</xdr:colOff>
      <xdr:row>13</xdr:row>
      <xdr:rowOff>1628775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420475" y="2581275"/>
          <a:ext cx="15240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tabSelected="1" view="pageBreakPreview" topLeftCell="A13" zoomScale="90" zoomScaleNormal="90" zoomScaleSheetLayoutView="90" workbookViewId="0">
      <selection activeCell="A20" sqref="A20:M20"/>
    </sheetView>
  </sheetViews>
  <sheetFormatPr defaultColWidth="9.140625" defaultRowHeight="12.75" x14ac:dyDescent="0.2"/>
  <cols>
    <col min="1" max="1" width="3.85546875" style="2" customWidth="1"/>
    <col min="2" max="2" width="25.5703125" style="2" customWidth="1"/>
    <col min="3" max="3" width="22" style="2" customWidth="1"/>
    <col min="4" max="4" width="13" style="2" customWidth="1"/>
    <col min="5" max="5" width="14.85546875" style="2" customWidth="1"/>
    <col min="6" max="6" width="15.140625" style="2" customWidth="1"/>
    <col min="7" max="7" width="14.85546875" style="2" customWidth="1"/>
    <col min="8" max="9" width="15.7109375" style="2" customWidth="1"/>
    <col min="10" max="10" width="15.42578125" style="2" customWidth="1"/>
    <col min="11" max="11" width="18.28515625" style="2" customWidth="1"/>
    <col min="12" max="12" width="21.28515625" style="2" customWidth="1"/>
    <col min="13" max="13" width="14.42578125" style="2" customWidth="1"/>
    <col min="14" max="14" width="19.140625" style="2" customWidth="1"/>
    <col min="15" max="15" width="29.28515625" style="24" customWidth="1"/>
    <col min="16" max="16384" width="9.140625" style="2"/>
  </cols>
  <sheetData>
    <row r="1" spans="1:15" ht="18" customHeight="1" x14ac:dyDescent="0.2">
      <c r="K1" s="58" t="s">
        <v>14</v>
      </c>
      <c r="L1" s="58"/>
      <c r="M1" s="58"/>
    </row>
    <row r="2" spans="1:15" ht="18" customHeight="1" x14ac:dyDescent="0.2">
      <c r="K2" s="58" t="s">
        <v>15</v>
      </c>
      <c r="L2" s="58"/>
      <c r="M2" s="58"/>
    </row>
    <row r="3" spans="1:15" ht="18" customHeight="1" x14ac:dyDescent="0.2">
      <c r="K3" s="58" t="s">
        <v>16</v>
      </c>
      <c r="L3" s="58"/>
      <c r="M3" s="58"/>
    </row>
    <row r="4" spans="1:15" ht="18" customHeight="1" x14ac:dyDescent="0.2">
      <c r="K4" s="58" t="s">
        <v>20</v>
      </c>
      <c r="L4" s="58"/>
      <c r="M4" s="58"/>
    </row>
    <row r="5" spans="1:15" ht="18" customHeight="1" x14ac:dyDescent="0.2">
      <c r="K5" s="58" t="s">
        <v>24</v>
      </c>
      <c r="L5" s="58"/>
      <c r="M5" s="58"/>
    </row>
    <row r="6" spans="1:15" ht="18" customHeight="1" x14ac:dyDescent="0.2">
      <c r="K6" s="57" t="s">
        <v>21</v>
      </c>
      <c r="L6" s="57"/>
      <c r="M6" s="57"/>
    </row>
    <row r="7" spans="1:15" ht="18" customHeight="1" x14ac:dyDescent="0.2">
      <c r="K7" s="58" t="s">
        <v>17</v>
      </c>
      <c r="L7" s="58"/>
      <c r="M7" s="58"/>
    </row>
    <row r="8" spans="1:15" ht="18" customHeight="1" x14ac:dyDescent="0.25">
      <c r="K8" s="27" t="s">
        <v>18</v>
      </c>
      <c r="L8"/>
      <c r="M8"/>
    </row>
    <row r="9" spans="1:15" ht="18" customHeight="1" x14ac:dyDescent="0.25">
      <c r="K9" s="27"/>
      <c r="L9"/>
      <c r="M9"/>
    </row>
    <row r="10" spans="1:15" ht="18" customHeight="1" x14ac:dyDescent="0.2"/>
    <row r="11" spans="1:15" ht="24.75" customHeight="1" x14ac:dyDescent="0.2">
      <c r="A11" s="70" t="s">
        <v>13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</row>
    <row r="12" spans="1:15" ht="54" customHeight="1" x14ac:dyDescent="0.2">
      <c r="A12" s="61" t="s">
        <v>28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5" ht="39" customHeight="1" x14ac:dyDescent="0.2">
      <c r="A13" s="71" t="s">
        <v>0</v>
      </c>
      <c r="B13" s="71" t="s">
        <v>32</v>
      </c>
      <c r="C13" s="71" t="s">
        <v>1</v>
      </c>
      <c r="D13" s="71" t="s">
        <v>2</v>
      </c>
      <c r="E13" s="73" t="s">
        <v>7</v>
      </c>
      <c r="F13" s="73"/>
      <c r="G13" s="73"/>
      <c r="H13" s="72" t="s">
        <v>6</v>
      </c>
      <c r="I13" s="72"/>
      <c r="J13" s="72"/>
      <c r="K13" s="72"/>
      <c r="L13" s="69" t="s">
        <v>25</v>
      </c>
      <c r="M13" s="69"/>
    </row>
    <row r="14" spans="1:15" ht="156" customHeight="1" x14ac:dyDescent="0.2">
      <c r="A14" s="71"/>
      <c r="B14" s="71"/>
      <c r="C14" s="71"/>
      <c r="D14" s="71"/>
      <c r="E14" s="31" t="s">
        <v>36</v>
      </c>
      <c r="F14" s="31" t="s">
        <v>35</v>
      </c>
      <c r="G14" s="31" t="s">
        <v>37</v>
      </c>
      <c r="H14" s="69" t="s">
        <v>26</v>
      </c>
      <c r="I14" s="69"/>
      <c r="J14" s="49" t="s">
        <v>3</v>
      </c>
      <c r="K14" s="20" t="s">
        <v>10</v>
      </c>
      <c r="L14" s="49" t="s">
        <v>9</v>
      </c>
      <c r="M14" s="3" t="s">
        <v>4</v>
      </c>
    </row>
    <row r="15" spans="1:15" ht="90.75" customHeight="1" x14ac:dyDescent="0.2">
      <c r="A15" s="47">
        <v>1</v>
      </c>
      <c r="B15" s="44" t="s">
        <v>33</v>
      </c>
      <c r="C15" s="31" t="s">
        <v>27</v>
      </c>
      <c r="D15" s="42">
        <v>1</v>
      </c>
      <c r="E15" s="43">
        <v>5850000</v>
      </c>
      <c r="F15" s="43">
        <v>5823840</v>
      </c>
      <c r="G15" s="43">
        <v>5790440.5</v>
      </c>
      <c r="H15" s="54">
        <f>((E15+F15+G15)/3)</f>
        <v>5821426.833333333</v>
      </c>
      <c r="I15" s="45">
        <v>5821426.8300000001</v>
      </c>
      <c r="J15" s="45">
        <f t="shared" ref="J15" si="0">SQRT(SUM((POWER(E15-H15,2)),(POWER(F15-H15,2)),(POWER(G15-H15,2)))/2)</f>
        <v>29852.990471363722</v>
      </c>
      <c r="K15" s="45">
        <f t="shared" ref="K15" si="1">J15/H15*100</f>
        <v>0.5128122593661455</v>
      </c>
      <c r="L15" s="46">
        <f t="shared" ref="L15" si="2">D15*I15</f>
        <v>5821426.8300000001</v>
      </c>
      <c r="M15" s="46">
        <f>L15</f>
        <v>5821426.8300000001</v>
      </c>
      <c r="N15" s="48"/>
    </row>
    <row r="16" spans="1:15" s="1" customFormat="1" ht="46.5" customHeight="1" x14ac:dyDescent="0.25">
      <c r="A16" s="42"/>
      <c r="B16" s="50" t="s">
        <v>19</v>
      </c>
      <c r="C16" s="31"/>
      <c r="D16" s="51">
        <f>D15</f>
        <v>1</v>
      </c>
      <c r="E16" s="52">
        <f>E15*$D$15</f>
        <v>5850000</v>
      </c>
      <c r="F16" s="52">
        <f>F15*$D$15</f>
        <v>5823840</v>
      </c>
      <c r="G16" s="52">
        <f>G15*$D$15</f>
        <v>5790440.5</v>
      </c>
      <c r="H16" s="54">
        <f t="shared" ref="H16:H17" si="3">((E16+F16+G16)/3)</f>
        <v>5821426.833333333</v>
      </c>
      <c r="I16" s="45">
        <v>5821426.8300000001</v>
      </c>
      <c r="J16" s="45">
        <f t="shared" ref="J16" si="4">SQRT(SUM((POWER(E16-H16,2)),(POWER(F16-H16,2)),(POWER(G16-H16,2)))/2)</f>
        <v>29852.990471363722</v>
      </c>
      <c r="K16" s="45">
        <f t="shared" ref="K16" si="5">J16/H16*100</f>
        <v>0.5128122593661455</v>
      </c>
      <c r="L16" s="53" t="s">
        <v>23</v>
      </c>
      <c r="M16" s="11">
        <f>SUM(M15:M15)</f>
        <v>5821426.8300000001</v>
      </c>
      <c r="O16" s="24"/>
    </row>
    <row r="17" spans="1:15" s="1" customFormat="1" ht="25.5" hidden="1" customHeight="1" x14ac:dyDescent="0.2">
      <c r="A17" s="14"/>
      <c r="B17" s="7"/>
      <c r="C17" s="8"/>
      <c r="D17" s="21"/>
      <c r="E17" s="9"/>
      <c r="F17" s="9"/>
      <c r="G17" s="9"/>
      <c r="H17" s="54">
        <f t="shared" si="3"/>
        <v>0</v>
      </c>
      <c r="I17" s="10"/>
      <c r="J17" s="17"/>
      <c r="K17" s="17"/>
      <c r="L17" s="19" t="s">
        <v>11</v>
      </c>
      <c r="M17" s="18">
        <f>M16*0.2*0</f>
        <v>0</v>
      </c>
      <c r="O17" s="24"/>
    </row>
    <row r="18" spans="1:15" s="1" customFormat="1" ht="27" customHeight="1" x14ac:dyDescent="0.2">
      <c r="A18" s="14"/>
      <c r="B18" s="7"/>
      <c r="C18" s="8"/>
      <c r="D18" s="15"/>
      <c r="H18" s="63" t="s">
        <v>12</v>
      </c>
      <c r="I18" s="63"/>
      <c r="J18" s="64"/>
      <c r="K18" s="64"/>
      <c r="L18" s="64"/>
      <c r="M18" s="11">
        <f>M16+M17</f>
        <v>5821426.8300000001</v>
      </c>
      <c r="O18" s="24"/>
    </row>
    <row r="19" spans="1:15" s="1" customFormat="1" ht="21.75" customHeight="1" x14ac:dyDescent="0.25">
      <c r="A19" s="68"/>
      <c r="B19" s="68"/>
      <c r="C19" s="68"/>
      <c r="D19" s="68"/>
      <c r="E19" s="9"/>
      <c r="F19" s="9"/>
      <c r="G19" s="9"/>
      <c r="H19" s="28"/>
      <c r="I19" s="39"/>
      <c r="J19" s="29"/>
      <c r="K19" s="29"/>
      <c r="L19" s="29"/>
      <c r="M19" s="32"/>
      <c r="O19" s="24"/>
    </row>
    <row r="20" spans="1:15" s="1" customFormat="1" ht="54" customHeight="1" x14ac:dyDescent="0.25">
      <c r="A20" s="66" t="s">
        <v>22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O20" s="24"/>
    </row>
    <row r="21" spans="1:15" s="55" customFormat="1" ht="19.5" customHeight="1" x14ac:dyDescent="0.25">
      <c r="A21" s="62" t="s">
        <v>34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O21" s="56"/>
    </row>
    <row r="22" spans="1:15" ht="66" hidden="1" customHeight="1" x14ac:dyDescent="0.2">
      <c r="A22" s="65" t="s">
        <v>5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5" ht="9.75" customHeight="1" x14ac:dyDescent="0.2">
      <c r="A23" s="30"/>
      <c r="B23" s="30"/>
      <c r="C23" s="30"/>
      <c r="D23" s="30"/>
      <c r="E23" s="30"/>
      <c r="F23" s="30"/>
      <c r="G23" s="30"/>
      <c r="H23" s="30"/>
      <c r="I23" s="40"/>
      <c r="J23" s="30"/>
      <c r="K23" s="30"/>
      <c r="L23" s="30"/>
      <c r="M23" s="30"/>
    </row>
    <row r="24" spans="1:15" ht="61.5" customHeight="1" x14ac:dyDescent="0.2">
      <c r="A24" s="66" t="s">
        <v>31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12"/>
    </row>
    <row r="25" spans="1:15" ht="15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</row>
    <row r="26" spans="1:15" s="35" customFormat="1" ht="15.75" customHeight="1" x14ac:dyDescent="0.25">
      <c r="A26" s="33"/>
      <c r="B26" s="67" t="s">
        <v>29</v>
      </c>
      <c r="C26" s="67"/>
      <c r="D26" s="67"/>
      <c r="E26" s="67"/>
      <c r="F26" s="67"/>
      <c r="G26" s="67"/>
      <c r="H26" s="67"/>
      <c r="I26" s="41"/>
      <c r="J26" s="34"/>
      <c r="L26" s="36" t="s">
        <v>30</v>
      </c>
      <c r="O26" s="37"/>
    </row>
    <row r="27" spans="1:15" s="4" customFormat="1" ht="15.75" x14ac:dyDescent="0.25">
      <c r="A27" s="59"/>
      <c r="B27" s="59"/>
      <c r="C27" s="59"/>
      <c r="D27" s="59"/>
      <c r="E27" s="59"/>
      <c r="F27" s="59"/>
      <c r="G27" s="59"/>
      <c r="H27" s="59"/>
      <c r="I27" s="38"/>
      <c r="J27" s="16" t="s">
        <v>8</v>
      </c>
      <c r="O27" s="25"/>
    </row>
    <row r="28" spans="1:15" s="4" customFormat="1" ht="11.25" customHeight="1" x14ac:dyDescent="0.25">
      <c r="A28" s="23"/>
      <c r="B28" s="23"/>
      <c r="C28" s="23"/>
      <c r="D28" s="6"/>
      <c r="E28" s="22"/>
      <c r="F28" s="22"/>
      <c r="G28" s="26"/>
      <c r="O28" s="25"/>
    </row>
    <row r="29" spans="1:15" ht="19.5" customHeight="1" x14ac:dyDescent="0.25">
      <c r="A29" s="59"/>
      <c r="B29" s="59"/>
      <c r="C29" s="5"/>
      <c r="D29" s="5"/>
      <c r="E29" s="5"/>
      <c r="F29" s="5"/>
      <c r="G29" s="5"/>
    </row>
    <row r="30" spans="1:15" s="4" customFormat="1" ht="15.75" x14ac:dyDescent="0.25">
      <c r="A30" s="60"/>
      <c r="B30" s="60"/>
      <c r="C30" s="60"/>
      <c r="D30" s="6"/>
      <c r="E30" s="22"/>
      <c r="F30" s="22"/>
      <c r="G30" s="26"/>
      <c r="O30" s="25"/>
    </row>
  </sheetData>
  <mergeCells count="27">
    <mergeCell ref="A11:M11"/>
    <mergeCell ref="A13:A14"/>
    <mergeCell ref="B13:B14"/>
    <mergeCell ref="C13:C14"/>
    <mergeCell ref="D13:D14"/>
    <mergeCell ref="H13:K13"/>
    <mergeCell ref="L13:M13"/>
    <mergeCell ref="E13:G13"/>
    <mergeCell ref="A29:B29"/>
    <mergeCell ref="A30:C30"/>
    <mergeCell ref="A12:M12"/>
    <mergeCell ref="A21:M21"/>
    <mergeCell ref="H18:L18"/>
    <mergeCell ref="A22:M22"/>
    <mergeCell ref="A27:H27"/>
    <mergeCell ref="A20:M20"/>
    <mergeCell ref="A24:M24"/>
    <mergeCell ref="B26:H26"/>
    <mergeCell ref="A19:D19"/>
    <mergeCell ref="H14:I14"/>
    <mergeCell ref="K6:M6"/>
    <mergeCell ref="K7:M7"/>
    <mergeCell ref="K1:M1"/>
    <mergeCell ref="K2:M2"/>
    <mergeCell ref="K3:M3"/>
    <mergeCell ref="K4:M4"/>
    <mergeCell ref="K5:M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СКЗИ</vt:lpstr>
      <vt:lpstr>СКЗИ!Область_печати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Терентьев Егор Евгеньевич (DIR-W-A235 - e.terentiev)</cp:lastModifiedBy>
  <cp:lastPrinted>2025-08-01T02:31:28Z</cp:lastPrinted>
  <dcterms:created xsi:type="dcterms:W3CDTF">2014-01-15T18:15:09Z</dcterms:created>
  <dcterms:modified xsi:type="dcterms:W3CDTF">2025-10-23T01:20:38Z</dcterms:modified>
</cp:coreProperties>
</file>