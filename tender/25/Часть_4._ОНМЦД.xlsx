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95" windowHeight="13035"/>
  </bookViews>
  <sheets>
    <sheet name="Лист1" sheetId="1" r:id="rId1"/>
    <sheet name="Лист2" sheetId="2" r:id="rId2"/>
    <sheet name="Лист3" sheetId="3" r:id="rId3"/>
  </sheets>
  <calcPr calcId="144525"/>
</workbook>
</file>

<file path=xl/sharedStrings.xml><?xml version="1.0" encoding="utf-8"?>
<sst xmlns="http://schemas.openxmlformats.org/spreadsheetml/2006/main" count="24" uniqueCount="23">
  <si>
    <t>ЧАСТЬ 4. Обоснование начальной (максимальной) цены договора</t>
  </si>
  <si>
    <t>Сформировано тарифным методом</t>
  </si>
  <si>
    <t>№</t>
  </si>
  <si>
    <t>МНН / Группировочное (химическое) наименование</t>
  </si>
  <si>
    <t>Использованные источники информации</t>
  </si>
  <si>
    <t>Формирование начальной (максимальной) цены  договора</t>
  </si>
  <si>
    <t>КП№1,     вход.№</t>
  </si>
  <si>
    <t xml:space="preserve">КП№2,     вход.№ </t>
  </si>
  <si>
    <t xml:space="preserve">КП№3,     вход.№ </t>
  </si>
  <si>
    <t>Государственный реестр цен на ЖНВЛП  на 05.11.2025</t>
  </si>
  <si>
    <t>Цена за ед. товара, руб.*</t>
  </si>
  <si>
    <t>Кол-во (упак.)</t>
  </si>
  <si>
    <t>Сумма, руб.</t>
  </si>
  <si>
    <t>АМПИЦИЛЛИН+СУЛЬБАКТАМ, порошок для приготовления раствора для внутривенного и внутримышечного введения, 250 мг+125 мг, №1</t>
  </si>
  <si>
    <t>АМПИЦИЛЛИН+СУЛЬБАКТАМ, порошок для приготовления раствора для внутривенного и внутримышечного введения, 500 мг+250 мг, №1</t>
  </si>
  <si>
    <t>АМПИЦИЛЛИН+СУЛЬБАКТАМ, порошок для приготовления раствора для внутривенного и внутримышечного введения, 1000 мг+500 мг, №1</t>
  </si>
  <si>
    <t>Итого по ЖНВЛП</t>
  </si>
  <si>
    <t>Начальная (максимальная) цена договора</t>
  </si>
  <si>
    <t xml:space="preserve">Расчет Н(М)ЦД произвел зав. аптекой </t>
  </si>
  <si>
    <t>Шадрина И.Н.</t>
  </si>
  <si>
    <t>фио</t>
  </si>
  <si>
    <t>Начальник ПЭО</t>
  </si>
  <si>
    <t>Степанова С.Н.</t>
  </si>
</sst>
</file>

<file path=xl/styles.xml><?xml version="1.0" encoding="utf-8"?>
<styleSheet xmlns="http://schemas.openxmlformats.org/spreadsheetml/2006/main">
  <numFmts count="5">
    <numFmt numFmtId="176" formatCode="0.0000"/>
    <numFmt numFmtId="177" formatCode="_-* #,##0\ &quot;₽&quot;_-;\-* #,##0\ &quot;₽&quot;_-;_-* \-\ &quot;₽&quot;_-;_-@_-"/>
    <numFmt numFmtId="178" formatCode="_-* #,##0.00\ &quot;₽&quot;_-;\-* #,##0.00\ &quot;₽&quot;_-;_-* \-??\ &quot;₽&quot;_-;_-@_-"/>
    <numFmt numFmtId="179" formatCode="_-* #,##0.00\ _₽_-;\-* #,##0.00\ _₽_-;_-* &quot;-&quot;??\ _₽_-;_-@_-"/>
    <numFmt numFmtId="41" formatCode="_-* #,##0_-;\-* #,##0_-;_-* &quot;-&quot;_-;_-@_-"/>
  </numFmts>
  <fonts count="33">
    <font>
      <sz val="11"/>
      <color theme="1"/>
      <name val="Calibri"/>
      <charset val="204"/>
      <scheme val="minor"/>
    </font>
    <font>
      <sz val="10"/>
      <color theme="1"/>
      <name val="Calibri"/>
      <charset val="204"/>
      <scheme val="minor"/>
    </font>
    <font>
      <b/>
      <sz val="9"/>
      <color theme="1"/>
      <name val="Calibri"/>
      <charset val="204"/>
      <scheme val="minor"/>
    </font>
    <font>
      <sz val="9"/>
      <color theme="1"/>
      <name val="Calibri"/>
      <charset val="204"/>
      <scheme val="minor"/>
    </font>
    <font>
      <sz val="10"/>
      <color rgb="FF000000"/>
      <name val="Times New Roman"/>
      <charset val="204"/>
    </font>
    <font>
      <sz val="9"/>
      <color rgb="FF000000"/>
      <name val="Times New Roman"/>
      <charset val="204"/>
    </font>
    <font>
      <sz val="9"/>
      <name val="Times New Roman"/>
      <charset val="204"/>
    </font>
    <font>
      <b/>
      <sz val="9"/>
      <name val="Times New Roman"/>
      <charset val="204"/>
    </font>
    <font>
      <sz val="10"/>
      <name val="Times New Roman"/>
      <charset val="204"/>
    </font>
    <font>
      <b/>
      <sz val="9"/>
      <color theme="1"/>
      <name val="Times New Roman"/>
      <charset val="204"/>
    </font>
    <font>
      <sz val="9"/>
      <color indexed="8"/>
      <name val="Times New Roman"/>
      <charset val="204"/>
    </font>
    <font>
      <sz val="9"/>
      <color theme="1"/>
      <name val="Times New Roman"/>
      <charset val="204"/>
    </font>
    <font>
      <b/>
      <sz val="9"/>
      <color rgb="FF000000"/>
      <name val="Times New Roman"/>
      <charset val="204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14" fillId="24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7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8" fillId="22" borderId="5" applyNumberFormat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179" fontId="0" fillId="0" borderId="0" applyFont="0" applyFill="0" applyBorder="0" applyAlignment="0" applyProtection="0"/>
    <xf numFmtId="0" fontId="16" fillId="26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1" fillId="0" borderId="9" applyNumberFormat="0" applyFill="0" applyAlignment="0" applyProtection="0">
      <alignment vertical="center"/>
    </xf>
    <xf numFmtId="0" fontId="23" fillId="1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20" fillId="2" borderId="5" applyNumberFormat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177" fontId="17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5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41" fontId="17" fillId="0" borderId="0" applyFont="0" applyFill="0" applyBorder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30" borderId="10" applyNumberFormat="0" applyFont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13" fillId="2" borderId="3" applyNumberFormat="0" applyAlignment="0" applyProtection="0">
      <alignment vertical="center"/>
    </xf>
  </cellStyleXfs>
  <cellXfs count="33">
    <xf numFmtId="0" fontId="0" fillId="0" borderId="0" xfId="0"/>
    <xf numFmtId="2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right" vertical="center" wrapText="1"/>
    </xf>
    <xf numFmtId="0" fontId="9" fillId="0" borderId="0" xfId="0" applyFont="1" applyAlignment="1">
      <alignment horizontal="left"/>
    </xf>
    <xf numFmtId="0" fontId="10" fillId="0" borderId="0" xfId="0" applyFont="1" applyAlignment="1" applyProtection="1">
      <alignment horizontal="left" vertical="top" wrapText="1"/>
      <protection locked="0"/>
    </xf>
    <xf numFmtId="2" fontId="2" fillId="0" borderId="0" xfId="0" applyNumberFormat="1" applyFont="1"/>
    <xf numFmtId="2" fontId="3" fillId="0" borderId="0" xfId="0" applyNumberFormat="1" applyFont="1"/>
    <xf numFmtId="0" fontId="11" fillId="0" borderId="1" xfId="0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179" fontId="6" fillId="0" borderId="1" xfId="22" applyFont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right" vertical="center" wrapText="1"/>
    </xf>
    <xf numFmtId="2" fontId="11" fillId="0" borderId="0" xfId="0" applyNumberFormat="1" applyFont="1" applyAlignment="1">
      <alignment horizontal="center"/>
    </xf>
    <xf numFmtId="2" fontId="11" fillId="0" borderId="0" xfId="0" applyNumberFormat="1" applyFont="1"/>
    <xf numFmtId="0" fontId="11" fillId="0" borderId="0" xfId="0" applyFont="1"/>
    <xf numFmtId="2" fontId="10" fillId="0" borderId="0" xfId="0" applyNumberFormat="1" applyFont="1" applyAlignment="1">
      <alignment horizontal="center"/>
    </xf>
    <xf numFmtId="2" fontId="10" fillId="0" borderId="0" xfId="0" applyNumberFormat="1" applyFont="1" applyAlignment="1" applyProtection="1">
      <alignment wrapText="1"/>
      <protection locked="0"/>
    </xf>
    <xf numFmtId="176" fontId="10" fillId="0" borderId="0" xfId="0" applyNumberFormat="1" applyFont="1" applyFill="1" applyAlignment="1" applyProtection="1">
      <alignment horizontal="center" vertical="center"/>
      <protection locked="0"/>
    </xf>
    <xf numFmtId="179" fontId="5" fillId="0" borderId="1" xfId="22" applyFont="1" applyBorder="1" applyAlignment="1">
      <alignment horizontal="center" vertical="center" wrapText="1"/>
    </xf>
    <xf numFmtId="179" fontId="5" fillId="0" borderId="1" xfId="22" applyFont="1" applyFill="1" applyBorder="1" applyAlignment="1">
      <alignment horizontal="center" vertical="center" wrapText="1"/>
    </xf>
    <xf numFmtId="179" fontId="12" fillId="0" borderId="1" xfId="22" applyFont="1" applyFill="1" applyBorder="1" applyAlignment="1">
      <alignment horizontal="center" vertical="center" wrapText="1"/>
    </xf>
    <xf numFmtId="0" fontId="11" fillId="0" borderId="2" xfId="0" applyFont="1" applyBorder="1"/>
    <xf numFmtId="0" fontId="10" fillId="0" borderId="0" xfId="0" applyFont="1" applyAlignment="1" applyProtection="1">
      <alignment horizontal="center" wrapText="1"/>
      <protection locked="0"/>
    </xf>
  </cellXfs>
  <cellStyles count="49">
    <cellStyle name="Обычный" xfId="0" builtinId="0"/>
    <cellStyle name="40% — Акцент6" xfId="1" builtinId="51"/>
    <cellStyle name="Акцент4" xfId="2" builtinId="41"/>
    <cellStyle name="20% — Акцент6" xfId="3" builtinId="50"/>
    <cellStyle name="Гиперссылка" xfId="4" builtinId="8"/>
    <cellStyle name="40% — Акцент5" xfId="5" builtinId="47"/>
    <cellStyle name="Акцент3" xfId="6" builtinId="37"/>
    <cellStyle name="20% — Акцент5" xfId="7" builtinId="46"/>
    <cellStyle name="Акцент2" xfId="8" builtinId="33"/>
    <cellStyle name="20% — Акцент4" xfId="9" builtinId="42"/>
    <cellStyle name="Заголовок 2" xfId="10" builtinId="17"/>
    <cellStyle name="60% — Акцент3" xfId="11" builtinId="40"/>
    <cellStyle name="Акцент1" xfId="12" builtinId="29"/>
    <cellStyle name="20% — Акцент3" xfId="13" builtinId="38"/>
    <cellStyle name="Заголовок 1" xfId="14" builtinId="16"/>
    <cellStyle name="Денежный" xfId="15" builtinId="4"/>
    <cellStyle name="60% — Акцент2" xfId="16" builtinId="36"/>
    <cellStyle name="Ввод" xfId="17" builtinId="20"/>
    <cellStyle name="Акцент6" xfId="18" builtinId="49"/>
    <cellStyle name="Процент" xfId="19" builtinId="5"/>
    <cellStyle name="40% — Акцент2" xfId="20" builtinId="35"/>
    <cellStyle name="20% — Акцент2" xfId="21" builtinId="34"/>
    <cellStyle name="Запятая" xfId="22" builtinId="3"/>
    <cellStyle name="Акцент5" xfId="23" builtinId="45"/>
    <cellStyle name="Нейтральный" xfId="24" builtinId="28"/>
    <cellStyle name="40% — Акцент1" xfId="25" builtinId="31"/>
    <cellStyle name="20% — Акцент1" xfId="26" builtinId="30"/>
    <cellStyle name="Открывавшаяся гиперссылка" xfId="27" builtinId="9"/>
    <cellStyle name="Связанная ячейка" xfId="28" builtinId="24"/>
    <cellStyle name="Проверить ячейку" xfId="29" builtinId="23"/>
    <cellStyle name="60% — Акцент5" xfId="30" builtinId="48"/>
    <cellStyle name="Заголовок 4" xfId="31" builtinId="19"/>
    <cellStyle name="Заголовок 3" xfId="32" builtinId="18"/>
    <cellStyle name="60% — Акцент4" xfId="33" builtinId="44"/>
    <cellStyle name="Плохой" xfId="34" builtinId="27"/>
    <cellStyle name="Вычисление" xfId="35" builtinId="22"/>
    <cellStyle name="60% — Акцент6" xfId="36" builtinId="52"/>
    <cellStyle name="Денежный [0]" xfId="37" builtinId="7"/>
    <cellStyle name="Пояснительный текст" xfId="38" builtinId="53"/>
    <cellStyle name="40% — Акцент3" xfId="39" builtinId="39"/>
    <cellStyle name="Заголовок" xfId="40" builtinId="15"/>
    <cellStyle name="Запятая [0]" xfId="41" builtinId="6"/>
    <cellStyle name="Итого" xfId="42" builtinId="25"/>
    <cellStyle name="Предупреждающий текст" xfId="43" builtinId="11"/>
    <cellStyle name="Примечание" xfId="44" builtinId="10"/>
    <cellStyle name="60% — Акцент1" xfId="45" builtinId="32"/>
    <cellStyle name="Хороший" xfId="46" builtinId="26"/>
    <cellStyle name="40% — Акцент4" xfId="47" builtinId="43"/>
    <cellStyle name="Вывод" xfId="48" builtinId="2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17"/>
  <sheetViews>
    <sheetView tabSelected="1" zoomScale="130" zoomScaleNormal="130" workbookViewId="0">
      <selection activeCell="F16" sqref="F16"/>
    </sheetView>
  </sheetViews>
  <sheetFormatPr defaultColWidth="8.85185185185185" defaultRowHeight="15"/>
  <cols>
    <col min="1" max="1" width="3.28148148148148" customWidth="1"/>
    <col min="2" max="2" width="47" customWidth="1"/>
    <col min="3" max="3" width="10.7111111111111" customWidth="1"/>
    <col min="4" max="4" width="10.7111111111111" customWidth="1"/>
    <col min="5" max="5" width="10.4222222222222" customWidth="1"/>
    <col min="6" max="7" width="10.4222222222222" style="1" customWidth="1"/>
    <col min="8" max="8" width="8" customWidth="1"/>
    <col min="9" max="9" width="14.7111111111111" customWidth="1"/>
    <col min="10" max="10" width="37" customWidth="1"/>
    <col min="11" max="11" width="16.4222222222222" customWidth="1"/>
    <col min="12" max="12" width="13.7111111111111" customWidth="1"/>
  </cols>
  <sheetData>
    <row r="2" spans="1:9">
      <c r="A2" s="2"/>
      <c r="B2" s="3" t="s">
        <v>0</v>
      </c>
      <c r="C2" s="3"/>
      <c r="D2" s="3"/>
      <c r="E2" s="3"/>
      <c r="F2" s="15"/>
      <c r="G2" s="15"/>
      <c r="H2" s="3"/>
      <c r="I2" s="3"/>
    </row>
    <row r="3" spans="1:9">
      <c r="A3" s="2"/>
      <c r="B3" s="3" t="s">
        <v>1</v>
      </c>
      <c r="C3" s="3"/>
      <c r="D3" s="3"/>
      <c r="E3" s="3"/>
      <c r="F3" s="15"/>
      <c r="G3" s="15"/>
      <c r="H3" s="3"/>
      <c r="I3" s="3"/>
    </row>
    <row r="4" spans="1:9">
      <c r="A4" s="2"/>
      <c r="B4" s="4"/>
      <c r="C4" s="4"/>
      <c r="D4" s="4"/>
      <c r="E4" s="4"/>
      <c r="F4" s="16"/>
      <c r="G4" s="16"/>
      <c r="H4" s="4"/>
      <c r="I4" s="4"/>
    </row>
    <row r="5" ht="38.25" customHeight="1" spans="1:9">
      <c r="A5" s="5" t="s">
        <v>2</v>
      </c>
      <c r="B5" s="6" t="s">
        <v>3</v>
      </c>
      <c r="C5" s="6" t="s">
        <v>4</v>
      </c>
      <c r="D5" s="6"/>
      <c r="E5" s="6"/>
      <c r="F5" s="17"/>
      <c r="G5" s="6" t="s">
        <v>5</v>
      </c>
      <c r="H5" s="6"/>
      <c r="I5" s="6"/>
    </row>
    <row r="6" ht="87" customHeight="1" spans="1:9">
      <c r="A6" s="5"/>
      <c r="B6" s="6"/>
      <c r="C6" s="7" t="s">
        <v>6</v>
      </c>
      <c r="D6" s="7" t="s">
        <v>7</v>
      </c>
      <c r="E6" s="7" t="s">
        <v>8</v>
      </c>
      <c r="F6" s="18" t="s">
        <v>9</v>
      </c>
      <c r="G6" s="19" t="s">
        <v>10</v>
      </c>
      <c r="H6" s="6" t="s">
        <v>11</v>
      </c>
      <c r="I6" s="6" t="s">
        <v>12</v>
      </c>
    </row>
    <row r="7" customFormat="1" ht="39.95" customHeight="1" spans="1:9">
      <c r="A7" s="5">
        <v>1</v>
      </c>
      <c r="B7" s="8" t="s">
        <v>13</v>
      </c>
      <c r="C7" s="7"/>
      <c r="D7" s="7"/>
      <c r="E7" s="7"/>
      <c r="F7" s="20">
        <v>64.35</v>
      </c>
      <c r="G7" s="20">
        <f>F7</f>
        <v>64.35</v>
      </c>
      <c r="H7" s="6">
        <v>1700</v>
      </c>
      <c r="I7" s="28">
        <f>G7*H7</f>
        <v>109395</v>
      </c>
    </row>
    <row r="8" customFormat="1" ht="39.95" customHeight="1" spans="1:9">
      <c r="A8" s="5">
        <v>2</v>
      </c>
      <c r="B8" s="8" t="s">
        <v>14</v>
      </c>
      <c r="C8" s="7"/>
      <c r="D8" s="7"/>
      <c r="E8" s="7"/>
      <c r="F8" s="20">
        <v>142.48</v>
      </c>
      <c r="G8" s="20">
        <v>142.48</v>
      </c>
      <c r="H8" s="6">
        <v>5000</v>
      </c>
      <c r="I8" s="28">
        <f t="shared" ref="I8:I9" si="0">G8*H8</f>
        <v>712400</v>
      </c>
    </row>
    <row r="9" customFormat="1" ht="39.95" customHeight="1" spans="1:9">
      <c r="A9" s="5">
        <v>3</v>
      </c>
      <c r="B9" s="8" t="s">
        <v>15</v>
      </c>
      <c r="C9" s="7"/>
      <c r="D9" s="7"/>
      <c r="E9" s="7"/>
      <c r="F9" s="20">
        <v>249.48</v>
      </c>
      <c r="G9" s="20">
        <v>249.48</v>
      </c>
      <c r="H9" s="6">
        <v>60000</v>
      </c>
      <c r="I9" s="28">
        <f t="shared" si="0"/>
        <v>14968800</v>
      </c>
    </row>
    <row r="10" customFormat="1" ht="12.75" customHeight="1" spans="1:9">
      <c r="A10" s="5"/>
      <c r="B10" s="9" t="s">
        <v>16</v>
      </c>
      <c r="C10" s="7"/>
      <c r="D10" s="7"/>
      <c r="E10" s="7"/>
      <c r="F10" s="18"/>
      <c r="G10" s="19"/>
      <c r="H10" s="6">
        <f>H7+H8+H9</f>
        <v>66700</v>
      </c>
      <c r="I10" s="29">
        <f>I7+I8+I9</f>
        <v>15790595</v>
      </c>
    </row>
    <row r="11" spans="1:9">
      <c r="A11" s="10"/>
      <c r="B11" s="11" t="s">
        <v>17</v>
      </c>
      <c r="C11" s="12"/>
      <c r="D11" s="12"/>
      <c r="E11" s="12"/>
      <c r="F11" s="21"/>
      <c r="G11" s="21"/>
      <c r="H11" s="12"/>
      <c r="I11" s="30">
        <f>I10</f>
        <v>15790595</v>
      </c>
    </row>
    <row r="12" spans="1:9">
      <c r="A12" s="2"/>
      <c r="B12" s="4"/>
      <c r="C12" s="4"/>
      <c r="D12" s="4"/>
      <c r="E12" s="4"/>
      <c r="F12" s="16"/>
      <c r="G12" s="16"/>
      <c r="H12" s="4"/>
      <c r="I12" s="4"/>
    </row>
    <row r="13" spans="1:9">
      <c r="A13" s="2"/>
      <c r="B13" s="13" t="s">
        <v>18</v>
      </c>
      <c r="C13" s="13"/>
      <c r="D13" s="13"/>
      <c r="E13" s="13"/>
      <c r="F13" s="22"/>
      <c r="G13" s="23"/>
      <c r="H13" s="24"/>
      <c r="I13" s="31" t="s">
        <v>19</v>
      </c>
    </row>
    <row r="14" spans="1:9">
      <c r="A14" s="2"/>
      <c r="B14" s="14"/>
      <c r="C14" s="14"/>
      <c r="D14" s="14"/>
      <c r="E14" s="14"/>
      <c r="F14" s="25"/>
      <c r="G14" s="26"/>
      <c r="H14" s="27"/>
      <c r="I14" s="32" t="s">
        <v>20</v>
      </c>
    </row>
    <row r="15" spans="1:9">
      <c r="A15" s="2"/>
      <c r="B15" s="13" t="s">
        <v>21</v>
      </c>
      <c r="C15" s="13"/>
      <c r="D15" s="13"/>
      <c r="E15" s="13"/>
      <c r="F15" s="22"/>
      <c r="G15" s="23"/>
      <c r="H15" s="24"/>
      <c r="I15" s="31" t="s">
        <v>22</v>
      </c>
    </row>
    <row r="16" spans="1:9">
      <c r="A16" s="2"/>
      <c r="B16" s="14"/>
      <c r="C16" s="14"/>
      <c r="D16" s="14"/>
      <c r="E16" s="14"/>
      <c r="F16" s="25"/>
      <c r="G16" s="26"/>
      <c r="H16" s="27"/>
      <c r="I16" s="32" t="s">
        <v>20</v>
      </c>
    </row>
    <row r="17" spans="1:9">
      <c r="A17" s="2"/>
      <c r="B17" s="4"/>
      <c r="C17" s="4"/>
      <c r="D17" s="4"/>
      <c r="E17" s="4"/>
      <c r="F17" s="16"/>
      <c r="G17" s="16"/>
      <c r="H17" s="4"/>
      <c r="I17" s="4"/>
    </row>
  </sheetData>
  <mergeCells count="4">
    <mergeCell ref="C5:F5"/>
    <mergeCell ref="G5:I5"/>
    <mergeCell ref="A5:A6"/>
    <mergeCell ref="B5:B6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13" workbookViewId="0">
      <selection activeCell="A1" sqref="A1"/>
    </sheetView>
  </sheetViews>
  <sheetFormatPr defaultColWidth="8.85185185185185"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30" sqref="L30"/>
    </sheetView>
  </sheetViews>
  <sheetFormatPr defaultColWidth="8.85185185185185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zav_apteka</dc:creator>
  <cp:lastModifiedBy>astraadmin</cp:lastModifiedBy>
  <dcterms:created xsi:type="dcterms:W3CDTF">2014-02-20T11:40:00Z</dcterms:created>
  <cp:lastPrinted>2025-11-26T14:29:00Z</cp:lastPrinted>
  <dcterms:modified xsi:type="dcterms:W3CDTF">2025-12-08T10:37:20Z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1049-11.1.0.11720</vt:lpwstr>
  </property>
</Properties>
</file>