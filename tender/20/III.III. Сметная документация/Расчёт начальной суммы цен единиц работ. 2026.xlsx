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7320" windowHeight="1185"/>
  </bookViews>
  <sheets>
    <sheet name="Лист 1" sheetId="4" r:id="rId1"/>
  </sheets>
  <definedNames>
    <definedName name="Print_Area" localSheetId="0">'Лист 1'!$A$7:$D$11</definedName>
    <definedName name="_xlnm.Print_Area" localSheetId="0">'Лист 1'!$A$1:$K$500</definedName>
  </definedNames>
  <calcPr calcId="145621" fullPrecision="0"/>
</workbook>
</file>

<file path=xl/calcChain.xml><?xml version="1.0" encoding="utf-8"?>
<calcChain xmlns="http://schemas.openxmlformats.org/spreadsheetml/2006/main">
  <c r="A13" i="4" l="1"/>
  <c r="I13" i="4"/>
  <c r="J13" i="4" s="1"/>
  <c r="I14" i="4"/>
  <c r="J14" i="4" s="1"/>
  <c r="I15" i="4"/>
  <c r="J15" i="4" s="1"/>
  <c r="K15" i="4" s="1"/>
  <c r="I16" i="4"/>
  <c r="J16" i="4" s="1"/>
  <c r="I17" i="4"/>
  <c r="J17" i="4" s="1"/>
  <c r="K17" i="4" s="1"/>
  <c r="I18" i="4"/>
  <c r="J18" i="4"/>
  <c r="K18" i="4" s="1"/>
  <c r="I19" i="4"/>
  <c r="J19" i="4" s="1"/>
  <c r="I20" i="4"/>
  <c r="J20" i="4"/>
  <c r="K20" i="4" s="1"/>
  <c r="I21" i="4"/>
  <c r="J21" i="4" s="1"/>
  <c r="K21" i="4"/>
  <c r="I22" i="4"/>
  <c r="K22" i="4" s="1"/>
  <c r="J22" i="4"/>
  <c r="I23" i="4"/>
  <c r="J23" i="4" s="1"/>
  <c r="I24" i="4"/>
  <c r="J24" i="4"/>
  <c r="I25" i="4"/>
  <c r="J25" i="4" s="1"/>
  <c r="K25" i="4"/>
  <c r="I26" i="4"/>
  <c r="J26" i="4"/>
  <c r="K26" i="4" s="1"/>
  <c r="I27" i="4"/>
  <c r="I28" i="4"/>
  <c r="J28" i="4"/>
  <c r="I29" i="4"/>
  <c r="J29" i="4"/>
  <c r="K29" i="4"/>
  <c r="I30" i="4"/>
  <c r="J30" i="4"/>
  <c r="K30" i="4" s="1"/>
  <c r="I31" i="4"/>
  <c r="J31" i="4" s="1"/>
  <c r="I32" i="4"/>
  <c r="J32" i="4" s="1"/>
  <c r="I33" i="4"/>
  <c r="J33" i="4" s="1"/>
  <c r="K33" i="4"/>
  <c r="I34" i="4"/>
  <c r="J34" i="4"/>
  <c r="K34" i="4" s="1"/>
  <c r="I35" i="4"/>
  <c r="I36" i="4"/>
  <c r="K36" i="4" s="1"/>
  <c r="J36" i="4"/>
  <c r="I37" i="4"/>
  <c r="J37" i="4"/>
  <c r="K37" i="4"/>
  <c r="I38" i="4"/>
  <c r="J38" i="4"/>
  <c r="K38" i="4" s="1"/>
  <c r="I39" i="4"/>
  <c r="J39" i="4" s="1"/>
  <c r="K39" i="4"/>
  <c r="I40" i="4"/>
  <c r="J40" i="4"/>
  <c r="I41" i="4"/>
  <c r="J41" i="4" s="1"/>
  <c r="K41" i="4" s="1"/>
  <c r="I42" i="4"/>
  <c r="J42" i="4"/>
  <c r="K42" i="4" s="1"/>
  <c r="I43" i="4"/>
  <c r="I44" i="4"/>
  <c r="J44" i="4"/>
  <c r="I45" i="4"/>
  <c r="I46" i="4"/>
  <c r="J46" i="4"/>
  <c r="K46" i="4" s="1"/>
  <c r="I47" i="4"/>
  <c r="J47" i="4" s="1"/>
  <c r="I48" i="4"/>
  <c r="J48" i="4"/>
  <c r="I49" i="4"/>
  <c r="J49" i="4" s="1"/>
  <c r="K49" i="4" s="1"/>
  <c r="I50" i="4"/>
  <c r="J50" i="4"/>
  <c r="K50" i="4"/>
  <c r="I51" i="4"/>
  <c r="I52" i="4"/>
  <c r="J52" i="4"/>
  <c r="I53" i="4"/>
  <c r="I54" i="4"/>
  <c r="J54" i="4"/>
  <c r="K54" i="4" s="1"/>
  <c r="I55" i="4"/>
  <c r="J55" i="4" s="1"/>
  <c r="K55" i="4"/>
  <c r="I56" i="4"/>
  <c r="J56" i="4"/>
  <c r="I57" i="4"/>
  <c r="J57" i="4" s="1"/>
  <c r="K57" i="4" s="1"/>
  <c r="I58" i="4"/>
  <c r="J58" i="4"/>
  <c r="K58" i="4" s="1"/>
  <c r="I59" i="4"/>
  <c r="I60" i="4"/>
  <c r="J60" i="4"/>
  <c r="I61" i="4"/>
  <c r="J61" i="4" s="1"/>
  <c r="I62" i="4"/>
  <c r="J62" i="4"/>
  <c r="K62" i="4" s="1"/>
  <c r="I63" i="4"/>
  <c r="J63" i="4" s="1"/>
  <c r="K63" i="4"/>
  <c r="I64" i="4"/>
  <c r="I65" i="4"/>
  <c r="J65" i="4" s="1"/>
  <c r="K65" i="4" s="1"/>
  <c r="I66" i="4"/>
  <c r="J66" i="4"/>
  <c r="K66" i="4"/>
  <c r="I67" i="4"/>
  <c r="I68" i="4"/>
  <c r="K68" i="4" s="1"/>
  <c r="J68" i="4"/>
  <c r="I69" i="4"/>
  <c r="J69" i="4" s="1"/>
  <c r="K69" i="4" s="1"/>
  <c r="I70" i="4"/>
  <c r="J70" i="4"/>
  <c r="K70" i="4" s="1"/>
  <c r="I71" i="4"/>
  <c r="J71" i="4" s="1"/>
  <c r="K71" i="4"/>
  <c r="I72" i="4"/>
  <c r="J72" i="4" s="1"/>
  <c r="I73" i="4"/>
  <c r="J73" i="4" s="1"/>
  <c r="K73" i="4"/>
  <c r="I74" i="4"/>
  <c r="J74" i="4"/>
  <c r="K74" i="4"/>
  <c r="I75" i="4"/>
  <c r="I76" i="4"/>
  <c r="J76" i="4"/>
  <c r="I77" i="4"/>
  <c r="J77" i="4"/>
  <c r="K77" i="4" s="1"/>
  <c r="I78" i="4"/>
  <c r="J78" i="4"/>
  <c r="K78" i="4" s="1"/>
  <c r="I79" i="4"/>
  <c r="I80" i="4"/>
  <c r="J80" i="4" s="1"/>
  <c r="I81" i="4"/>
  <c r="J81" i="4" s="1"/>
  <c r="K81" i="4" s="1"/>
  <c r="I82" i="4"/>
  <c r="J82" i="4"/>
  <c r="K82" i="4"/>
  <c r="I83" i="4"/>
  <c r="I84" i="4"/>
  <c r="K84" i="4" s="1"/>
  <c r="J84" i="4"/>
  <c r="I85" i="4"/>
  <c r="J85" i="4" s="1"/>
  <c r="K85" i="4" s="1"/>
  <c r="I86" i="4"/>
  <c r="J86" i="4"/>
  <c r="K86" i="4" s="1"/>
  <c r="I87" i="4"/>
  <c r="J87" i="4" s="1"/>
  <c r="K87" i="4" s="1"/>
  <c r="I88" i="4"/>
  <c r="J88" i="4"/>
  <c r="I89" i="4"/>
  <c r="J89" i="4" s="1"/>
  <c r="K89" i="4"/>
  <c r="I90" i="4"/>
  <c r="J90" i="4"/>
  <c r="K90" i="4" s="1"/>
  <c r="I91" i="4"/>
  <c r="I92" i="4"/>
  <c r="J92" i="4"/>
  <c r="I93" i="4"/>
  <c r="J93" i="4"/>
  <c r="K93" i="4"/>
  <c r="I94" i="4"/>
  <c r="J94" i="4"/>
  <c r="K94" i="4" s="1"/>
  <c r="I95" i="4"/>
  <c r="J95" i="4" s="1"/>
  <c r="I96" i="4"/>
  <c r="J96" i="4" s="1"/>
  <c r="I97" i="4"/>
  <c r="J97" i="4" s="1"/>
  <c r="K97" i="4"/>
  <c r="I98" i="4"/>
  <c r="J98" i="4"/>
  <c r="K98" i="4"/>
  <c r="I99" i="4"/>
  <c r="I100" i="4"/>
  <c r="J100" i="4"/>
  <c r="I101" i="4"/>
  <c r="J101" i="4"/>
  <c r="K101" i="4" s="1"/>
  <c r="I102" i="4"/>
  <c r="J102" i="4"/>
  <c r="K102" i="4" s="1"/>
  <c r="I103" i="4"/>
  <c r="J103" i="4" s="1"/>
  <c r="K103" i="4"/>
  <c r="I104" i="4"/>
  <c r="J104" i="4"/>
  <c r="I105" i="4"/>
  <c r="J105" i="4" s="1"/>
  <c r="K105" i="4" s="1"/>
  <c r="I106" i="4"/>
  <c r="J106" i="4"/>
  <c r="K106" i="4" s="1"/>
  <c r="I107" i="4"/>
  <c r="I108" i="4"/>
  <c r="J108" i="4"/>
  <c r="I109" i="4"/>
  <c r="J109" i="4"/>
  <c r="I110" i="4"/>
  <c r="J110" i="4"/>
  <c r="K110" i="4" s="1"/>
  <c r="I111" i="4"/>
  <c r="J111" i="4" s="1"/>
  <c r="I112" i="4"/>
  <c r="J112" i="4"/>
  <c r="I113" i="4"/>
  <c r="J113" i="4" s="1"/>
  <c r="K113" i="4" s="1"/>
  <c r="I114" i="4"/>
  <c r="J114" i="4"/>
  <c r="K114" i="4"/>
  <c r="I115" i="4"/>
  <c r="I116" i="4"/>
  <c r="J116" i="4"/>
  <c r="I117" i="4"/>
  <c r="I118" i="4"/>
  <c r="J118" i="4"/>
  <c r="K118" i="4" s="1"/>
  <c r="I119" i="4"/>
  <c r="J119" i="4" s="1"/>
  <c r="K119" i="4"/>
  <c r="I120" i="4"/>
  <c r="J120" i="4"/>
  <c r="I121" i="4"/>
  <c r="J121" i="4" s="1"/>
  <c r="K121" i="4"/>
  <c r="I122" i="4"/>
  <c r="J122" i="4"/>
  <c r="K122" i="4" s="1"/>
  <c r="I123" i="4"/>
  <c r="I124" i="4"/>
  <c r="J124" i="4"/>
  <c r="I125" i="4"/>
  <c r="K125" i="4" s="1"/>
  <c r="J125" i="4"/>
  <c r="I126" i="4"/>
  <c r="J126" i="4"/>
  <c r="K126" i="4" s="1"/>
  <c r="I127" i="4"/>
  <c r="J127" i="4" s="1"/>
  <c r="K127" i="4"/>
  <c r="I128" i="4"/>
  <c r="I129" i="4"/>
  <c r="J129" i="4" s="1"/>
  <c r="K129" i="4" s="1"/>
  <c r="I130" i="4"/>
  <c r="J130" i="4"/>
  <c r="K130" i="4"/>
  <c r="I131" i="4"/>
  <c r="I132" i="4"/>
  <c r="K132" i="4" s="1"/>
  <c r="J132" i="4"/>
  <c r="I133" i="4"/>
  <c r="J133" i="4" s="1"/>
  <c r="K133" i="4" s="1"/>
  <c r="I134" i="4"/>
  <c r="J134" i="4"/>
  <c r="K134" i="4" s="1"/>
  <c r="I135" i="4"/>
  <c r="J135" i="4" s="1"/>
  <c r="I136" i="4"/>
  <c r="J136" i="4"/>
  <c r="I137" i="4"/>
  <c r="J137" i="4" s="1"/>
  <c r="K137" i="4"/>
  <c r="I138" i="4"/>
  <c r="J138" i="4"/>
  <c r="K138" i="4"/>
  <c r="I139" i="4"/>
  <c r="I140" i="4"/>
  <c r="J140" i="4"/>
  <c r="I141" i="4"/>
  <c r="J141" i="4"/>
  <c r="K141" i="4" s="1"/>
  <c r="I142" i="4"/>
  <c r="J142" i="4"/>
  <c r="K142" i="4" s="1"/>
  <c r="I143" i="4"/>
  <c r="I144" i="4"/>
  <c r="J144" i="4" s="1"/>
  <c r="I145" i="4"/>
  <c r="J145" i="4" s="1"/>
  <c r="K145" i="4" s="1"/>
  <c r="I146" i="4"/>
  <c r="J146" i="4"/>
  <c r="K146" i="4" s="1"/>
  <c r="I147" i="4"/>
  <c r="I148" i="4"/>
  <c r="K148" i="4" s="1"/>
  <c r="J148" i="4"/>
  <c r="I149" i="4"/>
  <c r="J149" i="4" s="1"/>
  <c r="K149" i="4" s="1"/>
  <c r="I150" i="4"/>
  <c r="J150" i="4"/>
  <c r="K150" i="4" s="1"/>
  <c r="I151" i="4"/>
  <c r="J151" i="4" s="1"/>
  <c r="K151" i="4"/>
  <c r="I152" i="4"/>
  <c r="J152" i="4"/>
  <c r="I153" i="4"/>
  <c r="J153" i="4" s="1"/>
  <c r="K153" i="4"/>
  <c r="I154" i="4"/>
  <c r="J154" i="4"/>
  <c r="K154" i="4" s="1"/>
  <c r="I155" i="4"/>
  <c r="I156" i="4"/>
  <c r="J156" i="4"/>
  <c r="I157" i="4"/>
  <c r="J157" i="4"/>
  <c r="K157" i="4"/>
  <c r="I158" i="4"/>
  <c r="J158" i="4"/>
  <c r="K158" i="4" s="1"/>
  <c r="I159" i="4"/>
  <c r="J159" i="4" s="1"/>
  <c r="I160" i="4"/>
  <c r="J160" i="4" s="1"/>
  <c r="I161" i="4"/>
  <c r="J161" i="4" s="1"/>
  <c r="K161" i="4"/>
  <c r="I162" i="4"/>
  <c r="J162" i="4"/>
  <c r="K162" i="4"/>
  <c r="I163" i="4"/>
  <c r="I164" i="4"/>
  <c r="K164" i="4" s="1"/>
  <c r="J164" i="4"/>
  <c r="I165" i="4"/>
  <c r="J165" i="4"/>
  <c r="K165" i="4" s="1"/>
  <c r="I166" i="4"/>
  <c r="J166" i="4"/>
  <c r="K166" i="4" s="1"/>
  <c r="I167" i="4"/>
  <c r="J167" i="4" s="1"/>
  <c r="K167" i="4"/>
  <c r="I168" i="4"/>
  <c r="J168" i="4"/>
  <c r="I169" i="4"/>
  <c r="J169" i="4" s="1"/>
  <c r="K169" i="4" s="1"/>
  <c r="I170" i="4"/>
  <c r="J170" i="4"/>
  <c r="K170" i="4" s="1"/>
  <c r="I171" i="4"/>
  <c r="I172" i="4"/>
  <c r="J172" i="4"/>
  <c r="I173" i="4"/>
  <c r="J173" i="4"/>
  <c r="I174" i="4"/>
  <c r="J174" i="4"/>
  <c r="K174" i="4" s="1"/>
  <c r="I175" i="4"/>
  <c r="J175" i="4" s="1"/>
  <c r="I176" i="4"/>
  <c r="J176" i="4"/>
  <c r="I177" i="4"/>
  <c r="J177" i="4" s="1"/>
  <c r="K177" i="4" s="1"/>
  <c r="I178" i="4"/>
  <c r="J178" i="4"/>
  <c r="K178" i="4"/>
  <c r="I179" i="4"/>
  <c r="I180" i="4"/>
  <c r="J180" i="4"/>
  <c r="I181" i="4"/>
  <c r="I182" i="4"/>
  <c r="J182" i="4"/>
  <c r="K182" i="4" s="1"/>
  <c r="I183" i="4"/>
  <c r="J183" i="4" s="1"/>
  <c r="K183" i="4"/>
  <c r="I184" i="4"/>
  <c r="J184" i="4"/>
  <c r="I185" i="4"/>
  <c r="J185" i="4" s="1"/>
  <c r="K185" i="4"/>
  <c r="I186" i="4"/>
  <c r="J186" i="4"/>
  <c r="K186" i="4" s="1"/>
  <c r="I187" i="4"/>
  <c r="I188" i="4"/>
  <c r="J188" i="4"/>
  <c r="I189" i="4"/>
  <c r="K189" i="4" s="1"/>
  <c r="J189" i="4"/>
  <c r="I190" i="4"/>
  <c r="J190" i="4"/>
  <c r="K190" i="4" s="1"/>
  <c r="I191" i="4"/>
  <c r="J191" i="4" s="1"/>
  <c r="K191" i="4"/>
  <c r="I192" i="4"/>
  <c r="I193" i="4"/>
  <c r="J193" i="4" s="1"/>
  <c r="K193" i="4" s="1"/>
  <c r="I194" i="4"/>
  <c r="J194" i="4"/>
  <c r="K194" i="4"/>
  <c r="I195" i="4"/>
  <c r="I196" i="4"/>
  <c r="K196" i="4" s="1"/>
  <c r="J196" i="4"/>
  <c r="I197" i="4"/>
  <c r="J197" i="4" s="1"/>
  <c r="I198" i="4"/>
  <c r="J198" i="4"/>
  <c r="K198" i="4"/>
  <c r="I199" i="4"/>
  <c r="I200" i="4"/>
  <c r="J200" i="4" s="1"/>
  <c r="I201" i="4"/>
  <c r="J201" i="4" s="1"/>
  <c r="K201" i="4" s="1"/>
  <c r="I202" i="4"/>
  <c r="J202" i="4"/>
  <c r="K202" i="4" s="1"/>
  <c r="I203" i="4"/>
  <c r="J203" i="4" s="1"/>
  <c r="I204" i="4"/>
  <c r="J204" i="4" s="1"/>
  <c r="I205" i="4"/>
  <c r="J205" i="4"/>
  <c r="K205" i="4" s="1"/>
  <c r="I206" i="4"/>
  <c r="J206" i="4"/>
  <c r="K206" i="4" s="1"/>
  <c r="I207" i="4"/>
  <c r="J207" i="4" s="1"/>
  <c r="I208" i="4"/>
  <c r="J208" i="4"/>
  <c r="I209" i="4"/>
  <c r="I210" i="4"/>
  <c r="J210" i="4"/>
  <c r="K210" i="4" s="1"/>
  <c r="I211" i="4"/>
  <c r="J211" i="4" s="1"/>
  <c r="K211" i="4"/>
  <c r="I212" i="4"/>
  <c r="I213" i="4"/>
  <c r="J213" i="4" s="1"/>
  <c r="I214" i="4"/>
  <c r="J214" i="4"/>
  <c r="K214" i="4"/>
  <c r="I215" i="4"/>
  <c r="I216" i="4"/>
  <c r="J216" i="4" s="1"/>
  <c r="I217" i="4"/>
  <c r="J217" i="4" s="1"/>
  <c r="K217" i="4" s="1"/>
  <c r="I218" i="4"/>
  <c r="J218" i="4"/>
  <c r="K218" i="4" s="1"/>
  <c r="I219" i="4"/>
  <c r="J219" i="4" s="1"/>
  <c r="I220" i="4"/>
  <c r="J220" i="4" s="1"/>
  <c r="I221" i="4"/>
  <c r="J221" i="4"/>
  <c r="K221" i="4" s="1"/>
  <c r="I222" i="4"/>
  <c r="J222" i="4"/>
  <c r="K222" i="4" s="1"/>
  <c r="I223" i="4"/>
  <c r="J223" i="4" s="1"/>
  <c r="I224" i="4"/>
  <c r="J224" i="4"/>
  <c r="I225" i="4"/>
  <c r="I226" i="4"/>
  <c r="J226" i="4"/>
  <c r="K226" i="4" s="1"/>
  <c r="I227" i="4"/>
  <c r="J227" i="4" s="1"/>
  <c r="K227" i="4"/>
  <c r="I228" i="4"/>
  <c r="I229" i="4"/>
  <c r="J229" i="4" s="1"/>
  <c r="I230" i="4"/>
  <c r="J230" i="4"/>
  <c r="K230" i="4"/>
  <c r="I231" i="4"/>
  <c r="I232" i="4"/>
  <c r="J232" i="4" s="1"/>
  <c r="I233" i="4"/>
  <c r="J233" i="4" s="1"/>
  <c r="K233" i="4" s="1"/>
  <c r="I234" i="4"/>
  <c r="J234" i="4"/>
  <c r="K234" i="4" s="1"/>
  <c r="I235" i="4"/>
  <c r="J235" i="4" s="1"/>
  <c r="I236" i="4"/>
  <c r="J236" i="4" s="1"/>
  <c r="I237" i="4"/>
  <c r="J237" i="4"/>
  <c r="K237" i="4"/>
  <c r="I238" i="4"/>
  <c r="J238" i="4"/>
  <c r="K238" i="4" s="1"/>
  <c r="I239" i="4"/>
  <c r="J239" i="4" s="1"/>
  <c r="I240" i="4"/>
  <c r="J240" i="4"/>
  <c r="I241" i="4"/>
  <c r="I242" i="4"/>
  <c r="J242" i="4"/>
  <c r="K242" i="4" s="1"/>
  <c r="I243" i="4"/>
  <c r="J243" i="4" s="1"/>
  <c r="K243" i="4"/>
  <c r="I244" i="4"/>
  <c r="I245" i="4"/>
  <c r="J245" i="4" s="1"/>
  <c r="I246" i="4"/>
  <c r="J246" i="4"/>
  <c r="K246" i="4"/>
  <c r="I247" i="4"/>
  <c r="I248" i="4"/>
  <c r="J248" i="4" s="1"/>
  <c r="I249" i="4"/>
  <c r="J249" i="4" s="1"/>
  <c r="K249" i="4" s="1"/>
  <c r="I250" i="4"/>
  <c r="J250" i="4"/>
  <c r="K250" i="4" s="1"/>
  <c r="I251" i="4"/>
  <c r="J251" i="4" s="1"/>
  <c r="I252" i="4"/>
  <c r="J252" i="4" s="1"/>
  <c r="I253" i="4"/>
  <c r="J253" i="4"/>
  <c r="K253" i="4" s="1"/>
  <c r="I254" i="4"/>
  <c r="J254" i="4"/>
  <c r="K254" i="4" s="1"/>
  <c r="I255" i="4"/>
  <c r="J255" i="4" s="1"/>
  <c r="I256" i="4"/>
  <c r="J256" i="4"/>
  <c r="I257" i="4"/>
  <c r="I258" i="4"/>
  <c r="J258" i="4"/>
  <c r="K258" i="4" s="1"/>
  <c r="I259" i="4"/>
  <c r="J259" i="4" s="1"/>
  <c r="K259" i="4"/>
  <c r="I260" i="4"/>
  <c r="I261" i="4"/>
  <c r="J261" i="4" s="1"/>
  <c r="I262" i="4"/>
  <c r="J262" i="4"/>
  <c r="K262" i="4"/>
  <c r="I263" i="4"/>
  <c r="I264" i="4"/>
  <c r="J264" i="4" s="1"/>
  <c r="I265" i="4"/>
  <c r="J265" i="4" s="1"/>
  <c r="K265" i="4" s="1"/>
  <c r="I266" i="4"/>
  <c r="J266" i="4"/>
  <c r="K266" i="4" s="1"/>
  <c r="I267" i="4"/>
  <c r="J267" i="4" s="1"/>
  <c r="I268" i="4"/>
  <c r="J268" i="4" s="1"/>
  <c r="I269" i="4"/>
  <c r="J269" i="4"/>
  <c r="K269" i="4" s="1"/>
  <c r="I270" i="4"/>
  <c r="J270" i="4"/>
  <c r="K270" i="4" s="1"/>
  <c r="I271" i="4"/>
  <c r="J271" i="4" s="1"/>
  <c r="I272" i="4"/>
  <c r="J272" i="4"/>
  <c r="I273" i="4"/>
  <c r="I274" i="4"/>
  <c r="J274" i="4"/>
  <c r="K274" i="4" s="1"/>
  <c r="I275" i="4"/>
  <c r="J275" i="4" s="1"/>
  <c r="K275" i="4"/>
  <c r="I276" i="4"/>
  <c r="I277" i="4"/>
  <c r="J277" i="4" s="1"/>
  <c r="I278" i="4"/>
  <c r="J278" i="4"/>
  <c r="K278" i="4"/>
  <c r="I279" i="4"/>
  <c r="I280" i="4"/>
  <c r="J280" i="4" s="1"/>
  <c r="I281" i="4"/>
  <c r="J281" i="4" s="1"/>
  <c r="K281" i="4" s="1"/>
  <c r="I282" i="4"/>
  <c r="J282" i="4"/>
  <c r="K282" i="4" s="1"/>
  <c r="I283" i="4"/>
  <c r="J283" i="4" s="1"/>
  <c r="I284" i="4"/>
  <c r="J284" i="4" s="1"/>
  <c r="I285" i="4"/>
  <c r="J285" i="4"/>
  <c r="K285" i="4"/>
  <c r="I286" i="4"/>
  <c r="J286" i="4"/>
  <c r="K286" i="4" s="1"/>
  <c r="I287" i="4"/>
  <c r="J287" i="4" s="1"/>
  <c r="I288" i="4"/>
  <c r="J288" i="4"/>
  <c r="I289" i="4"/>
  <c r="I290" i="4"/>
  <c r="J290" i="4"/>
  <c r="K290" i="4" s="1"/>
  <c r="I291" i="4"/>
  <c r="J291" i="4" s="1"/>
  <c r="K291" i="4"/>
  <c r="I292" i="4"/>
  <c r="I293" i="4"/>
  <c r="J293" i="4" s="1"/>
  <c r="I294" i="4"/>
  <c r="J294" i="4"/>
  <c r="K294" i="4"/>
  <c r="I295" i="4"/>
  <c r="I296" i="4"/>
  <c r="J296" i="4" s="1"/>
  <c r="I297" i="4"/>
  <c r="J297" i="4" s="1"/>
  <c r="K297" i="4" s="1"/>
  <c r="I298" i="4"/>
  <c r="J298" i="4"/>
  <c r="K298" i="4" s="1"/>
  <c r="I299" i="4"/>
  <c r="J299" i="4" s="1"/>
  <c r="I300" i="4"/>
  <c r="J300" i="4" s="1"/>
  <c r="I301" i="4"/>
  <c r="J301" i="4"/>
  <c r="K301" i="4"/>
  <c r="I302" i="4"/>
  <c r="J302" i="4"/>
  <c r="K302" i="4" s="1"/>
  <c r="I303" i="4"/>
  <c r="J303" i="4" s="1"/>
  <c r="I304" i="4"/>
  <c r="J304" i="4"/>
  <c r="I305" i="4"/>
  <c r="I306" i="4"/>
  <c r="J306" i="4"/>
  <c r="K306" i="4" s="1"/>
  <c r="I307" i="4"/>
  <c r="J307" i="4" s="1"/>
  <c r="K307" i="4"/>
  <c r="I308" i="4"/>
  <c r="I309" i="4"/>
  <c r="J309" i="4" s="1"/>
  <c r="I310" i="4"/>
  <c r="J310" i="4"/>
  <c r="K310" i="4"/>
  <c r="I311" i="4"/>
  <c r="I312" i="4"/>
  <c r="J312" i="4" s="1"/>
  <c r="I313" i="4"/>
  <c r="J313" i="4" s="1"/>
  <c r="K313" i="4" s="1"/>
  <c r="I314" i="4"/>
  <c r="J314" i="4"/>
  <c r="K314" i="4" s="1"/>
  <c r="I315" i="4"/>
  <c r="J315" i="4" s="1"/>
  <c r="I316" i="4"/>
  <c r="J316" i="4" s="1"/>
  <c r="I317" i="4"/>
  <c r="J317" i="4"/>
  <c r="K317" i="4"/>
  <c r="I318" i="4"/>
  <c r="J318" i="4"/>
  <c r="K318" i="4" s="1"/>
  <c r="I319" i="4"/>
  <c r="J319" i="4" s="1"/>
  <c r="I320" i="4"/>
  <c r="J320" i="4"/>
  <c r="I321" i="4"/>
  <c r="I322" i="4"/>
  <c r="J322" i="4"/>
  <c r="K322" i="4" s="1"/>
  <c r="I323" i="4"/>
  <c r="J323" i="4" s="1"/>
  <c r="K323" i="4"/>
  <c r="I324" i="4"/>
  <c r="I325" i="4"/>
  <c r="J325" i="4" s="1"/>
  <c r="I326" i="4"/>
  <c r="J326" i="4"/>
  <c r="K326" i="4"/>
  <c r="I327" i="4"/>
  <c r="I328" i="4"/>
  <c r="I329" i="4"/>
  <c r="J329" i="4" s="1"/>
  <c r="K329" i="4"/>
  <c r="I330" i="4"/>
  <c r="J330" i="4"/>
  <c r="K330" i="4" s="1"/>
  <c r="I331" i="4"/>
  <c r="I332" i="4"/>
  <c r="J332" i="4" s="1"/>
  <c r="I333" i="4"/>
  <c r="I334" i="4"/>
  <c r="J334" i="4"/>
  <c r="K334" i="4" s="1"/>
  <c r="I335" i="4"/>
  <c r="J335" i="4" s="1"/>
  <c r="I336" i="4"/>
  <c r="J336" i="4"/>
  <c r="I337" i="4"/>
  <c r="I338" i="4"/>
  <c r="J338" i="4"/>
  <c r="K338" i="4" s="1"/>
  <c r="I339" i="4"/>
  <c r="J339" i="4" s="1"/>
  <c r="I340" i="4"/>
  <c r="I341" i="4"/>
  <c r="I342" i="4"/>
  <c r="J342" i="4"/>
  <c r="K342" i="4" s="1"/>
  <c r="I343" i="4"/>
  <c r="I344" i="4"/>
  <c r="I345" i="4"/>
  <c r="J345" i="4" s="1"/>
  <c r="K345" i="4"/>
  <c r="I346" i="4"/>
  <c r="J346" i="4"/>
  <c r="K346" i="4" s="1"/>
  <c r="I347" i="4"/>
  <c r="I348" i="4"/>
  <c r="I349" i="4"/>
  <c r="J349" i="4" s="1"/>
  <c r="I350" i="4"/>
  <c r="J350" i="4"/>
  <c r="K350" i="4" s="1"/>
  <c r="I351" i="4"/>
  <c r="I352" i="4"/>
  <c r="J352" i="4" s="1"/>
  <c r="I353" i="4"/>
  <c r="J353" i="4" s="1"/>
  <c r="I354" i="4"/>
  <c r="J354" i="4"/>
  <c r="K354" i="4" s="1"/>
  <c r="I355" i="4"/>
  <c r="J355" i="4"/>
  <c r="I356" i="4"/>
  <c r="J356" i="4"/>
  <c r="K356" i="4" s="1"/>
  <c r="I357" i="4"/>
  <c r="J357" i="4" s="1"/>
  <c r="I358" i="4"/>
  <c r="J358" i="4"/>
  <c r="I359" i="4"/>
  <c r="I360" i="4"/>
  <c r="J360" i="4"/>
  <c r="K360" i="4" s="1"/>
  <c r="I361" i="4"/>
  <c r="J361" i="4" s="1"/>
  <c r="K361" i="4"/>
  <c r="I362" i="4"/>
  <c r="J362" i="4"/>
  <c r="K362" i="4" s="1"/>
  <c r="I363" i="4"/>
  <c r="J363" i="4" s="1"/>
  <c r="K363" i="4" s="1"/>
  <c r="I364" i="4"/>
  <c r="J364" i="4"/>
  <c r="K364" i="4" s="1"/>
  <c r="I365" i="4"/>
  <c r="J365" i="4" s="1"/>
  <c r="K365" i="4"/>
  <c r="I366" i="4"/>
  <c r="I367" i="4"/>
  <c r="J367" i="4" s="1"/>
  <c r="K367" i="4"/>
  <c r="I368" i="4"/>
  <c r="J368" i="4"/>
  <c r="K368" i="4"/>
  <c r="I369" i="4"/>
  <c r="J369" i="4" s="1"/>
  <c r="K369" i="4"/>
  <c r="I370" i="4"/>
  <c r="J370" i="4"/>
  <c r="K370" i="4" s="1"/>
  <c r="I371" i="4"/>
  <c r="J371" i="4" s="1"/>
  <c r="I372" i="4"/>
  <c r="J372" i="4"/>
  <c r="K372" i="4" s="1"/>
  <c r="I373" i="4"/>
  <c r="I374" i="4"/>
  <c r="J374" i="4"/>
  <c r="I375" i="4"/>
  <c r="J375" i="4" s="1"/>
  <c r="K375" i="4" s="1"/>
  <c r="I376" i="4"/>
  <c r="J376" i="4"/>
  <c r="K376" i="4"/>
  <c r="I377" i="4"/>
  <c r="J377" i="4" s="1"/>
  <c r="K377" i="4"/>
  <c r="I378" i="4"/>
  <c r="J378" i="4"/>
  <c r="K378" i="4" s="1"/>
  <c r="I379" i="4"/>
  <c r="J379" i="4"/>
  <c r="K379" i="4"/>
  <c r="I380" i="4"/>
  <c r="J380" i="4"/>
  <c r="K380" i="4" s="1"/>
  <c r="I381" i="4"/>
  <c r="J381" i="4" s="1"/>
  <c r="K381" i="4"/>
  <c r="I382" i="4"/>
  <c r="J382" i="4" s="1"/>
  <c r="I383" i="4"/>
  <c r="J383" i="4" s="1"/>
  <c r="K383" i="4"/>
  <c r="I384" i="4"/>
  <c r="J384" i="4"/>
  <c r="K384" i="4"/>
  <c r="I385" i="4"/>
  <c r="J385" i="4" s="1"/>
  <c r="I386" i="4"/>
  <c r="J386" i="4"/>
  <c r="K386" i="4" s="1"/>
  <c r="I387" i="4"/>
  <c r="J387" i="4" s="1"/>
  <c r="I388" i="4"/>
  <c r="J388" i="4"/>
  <c r="K388" i="4" s="1"/>
  <c r="I389" i="4"/>
  <c r="J389" i="4" s="1"/>
  <c r="I390" i="4"/>
  <c r="J390" i="4"/>
  <c r="I391" i="4"/>
  <c r="I392" i="4"/>
  <c r="J392" i="4"/>
  <c r="K392" i="4" s="1"/>
  <c r="I393" i="4"/>
  <c r="J393" i="4" s="1"/>
  <c r="K393" i="4"/>
  <c r="I394" i="4"/>
  <c r="J394" i="4"/>
  <c r="K394" i="4" s="1"/>
  <c r="I395" i="4"/>
  <c r="J395" i="4" s="1"/>
  <c r="K395" i="4" s="1"/>
  <c r="I396" i="4"/>
  <c r="J396" i="4"/>
  <c r="K396" i="4" s="1"/>
  <c r="I397" i="4"/>
  <c r="J397" i="4" s="1"/>
  <c r="K397" i="4"/>
  <c r="I398" i="4"/>
  <c r="I399" i="4"/>
  <c r="J399" i="4" s="1"/>
  <c r="K399" i="4"/>
  <c r="I400" i="4"/>
  <c r="J400" i="4"/>
  <c r="K400" i="4"/>
  <c r="I401" i="4"/>
  <c r="J401" i="4" s="1"/>
  <c r="K401" i="4"/>
  <c r="I402" i="4"/>
  <c r="J402" i="4"/>
  <c r="K402" i="4" s="1"/>
  <c r="I403" i="4"/>
  <c r="J403" i="4" s="1"/>
  <c r="I404" i="4"/>
  <c r="J404" i="4"/>
  <c r="K404" i="4" s="1"/>
  <c r="I405" i="4"/>
  <c r="I406" i="4"/>
  <c r="J406" i="4"/>
  <c r="I407" i="4"/>
  <c r="J407" i="4" s="1"/>
  <c r="K407" i="4" s="1"/>
  <c r="I408" i="4"/>
  <c r="J408" i="4"/>
  <c r="K408" i="4"/>
  <c r="I409" i="4"/>
  <c r="J409" i="4" s="1"/>
  <c r="K409" i="4"/>
  <c r="I410" i="4"/>
  <c r="J410" i="4"/>
  <c r="K410" i="4" s="1"/>
  <c r="I411" i="4"/>
  <c r="J411" i="4"/>
  <c r="K411" i="4"/>
  <c r="I412" i="4"/>
  <c r="J412" i="4"/>
  <c r="K412" i="4" s="1"/>
  <c r="I413" i="4"/>
  <c r="J413" i="4" s="1"/>
  <c r="K413" i="4"/>
  <c r="I414" i="4"/>
  <c r="J414" i="4" s="1"/>
  <c r="I415" i="4"/>
  <c r="J415" i="4" s="1"/>
  <c r="K415" i="4"/>
  <c r="I416" i="4"/>
  <c r="I417" i="4"/>
  <c r="J417" i="4" s="1"/>
  <c r="I418" i="4"/>
  <c r="J418" i="4"/>
  <c r="K418" i="4"/>
  <c r="I419" i="4"/>
  <c r="I420" i="4"/>
  <c r="J420" i="4"/>
  <c r="K420" i="4" s="1"/>
  <c r="I421" i="4"/>
  <c r="J421" i="4"/>
  <c r="K421" i="4"/>
  <c r="I422" i="4"/>
  <c r="I423" i="4"/>
  <c r="J423" i="4" s="1"/>
  <c r="K423" i="4"/>
  <c r="I424" i="4"/>
  <c r="J424" i="4" s="1"/>
  <c r="K424" i="4" s="1"/>
  <c r="I425" i="4"/>
  <c r="J425" i="4" s="1"/>
  <c r="I426" i="4"/>
  <c r="J426" i="4"/>
  <c r="K426" i="4"/>
  <c r="I427" i="4"/>
  <c r="J427" i="4" s="1"/>
  <c r="K427" i="4" s="1"/>
  <c r="I428" i="4"/>
  <c r="J428" i="4"/>
  <c r="I429" i="4"/>
  <c r="J429" i="4"/>
  <c r="K429" i="4"/>
  <c r="I430" i="4"/>
  <c r="J430" i="4" s="1"/>
  <c r="I431" i="4"/>
  <c r="J431" i="4" s="1"/>
  <c r="K431" i="4"/>
  <c r="I432" i="4"/>
  <c r="I433" i="4"/>
  <c r="J433" i="4" s="1"/>
  <c r="I434" i="4"/>
  <c r="J434" i="4"/>
  <c r="K434" i="4"/>
  <c r="I435" i="4"/>
  <c r="I436" i="4"/>
  <c r="K436" i="4" s="1"/>
  <c r="J436" i="4"/>
  <c r="I437" i="4"/>
  <c r="J437" i="4"/>
  <c r="K437" i="4"/>
  <c r="I438" i="4"/>
  <c r="I439" i="4"/>
  <c r="J439" i="4" s="1"/>
  <c r="K439" i="4"/>
  <c r="I440" i="4"/>
  <c r="J440" i="4" s="1"/>
  <c r="K440" i="4" s="1"/>
  <c r="I441" i="4"/>
  <c r="J441" i="4" s="1"/>
  <c r="K441" i="4"/>
  <c r="I442" i="4"/>
  <c r="J442" i="4"/>
  <c r="K442" i="4"/>
  <c r="I443" i="4"/>
  <c r="J443" i="4" s="1"/>
  <c r="K443" i="4" s="1"/>
  <c r="I444" i="4"/>
  <c r="J444" i="4" s="1"/>
  <c r="I445" i="4"/>
  <c r="J445" i="4"/>
  <c r="K445" i="4" s="1"/>
  <c r="I446" i="4"/>
  <c r="J446" i="4"/>
  <c r="K446" i="4"/>
  <c r="I447" i="4"/>
  <c r="I448" i="4"/>
  <c r="J448" i="4" s="1"/>
  <c r="I449" i="4"/>
  <c r="J449" i="4"/>
  <c r="K449" i="4"/>
  <c r="I450" i="4"/>
  <c r="J450" i="4"/>
  <c r="K450" i="4"/>
  <c r="I451" i="4"/>
  <c r="J451" i="4" s="1"/>
  <c r="K451" i="4" s="1"/>
  <c r="I452" i="4"/>
  <c r="J452" i="4" s="1"/>
  <c r="I453" i="4"/>
  <c r="J453" i="4"/>
  <c r="K453" i="4" s="1"/>
  <c r="I454" i="4"/>
  <c r="J454" i="4"/>
  <c r="K454" i="4"/>
  <c r="I455" i="4"/>
  <c r="I456" i="4"/>
  <c r="J456" i="4" s="1"/>
  <c r="I457" i="4"/>
  <c r="J457" i="4"/>
  <c r="K457" i="4"/>
  <c r="I458" i="4"/>
  <c r="J458" i="4"/>
  <c r="K458" i="4"/>
  <c r="I459" i="4"/>
  <c r="J459" i="4" s="1"/>
  <c r="K459" i="4" s="1"/>
  <c r="I460" i="4"/>
  <c r="J460" i="4" s="1"/>
  <c r="I461" i="4"/>
  <c r="J461" i="4"/>
  <c r="K461" i="4" s="1"/>
  <c r="I462" i="4"/>
  <c r="J462" i="4"/>
  <c r="K462" i="4"/>
  <c r="I463" i="4"/>
  <c r="I464" i="4"/>
  <c r="J464" i="4" s="1"/>
  <c r="I465" i="4"/>
  <c r="J465" i="4"/>
  <c r="K465" i="4"/>
  <c r="I466" i="4"/>
  <c r="J466" i="4"/>
  <c r="K466" i="4"/>
  <c r="I467" i="4"/>
  <c r="J467" i="4" s="1"/>
  <c r="K467" i="4" s="1"/>
  <c r="I468" i="4"/>
  <c r="J468" i="4" s="1"/>
  <c r="I469" i="4"/>
  <c r="J469" i="4"/>
  <c r="K469" i="4" s="1"/>
  <c r="I470" i="4"/>
  <c r="J470" i="4"/>
  <c r="K470" i="4"/>
  <c r="I471" i="4"/>
  <c r="I472" i="4"/>
  <c r="J472" i="4" s="1"/>
  <c r="I473" i="4"/>
  <c r="J473" i="4"/>
  <c r="K473" i="4"/>
  <c r="I474" i="4"/>
  <c r="J474" i="4"/>
  <c r="K474" i="4"/>
  <c r="I475" i="4"/>
  <c r="J475" i="4" s="1"/>
  <c r="K475" i="4" s="1"/>
  <c r="I476" i="4"/>
  <c r="J476" i="4" s="1"/>
  <c r="I477" i="4"/>
  <c r="J477" i="4"/>
  <c r="K477" i="4" s="1"/>
  <c r="I478" i="4"/>
  <c r="J478" i="4"/>
  <c r="K478" i="4"/>
  <c r="I479" i="4"/>
  <c r="I480" i="4"/>
  <c r="J480" i="4" s="1"/>
  <c r="I481" i="4"/>
  <c r="J481" i="4"/>
  <c r="K481" i="4"/>
  <c r="I482" i="4"/>
  <c r="J482" i="4"/>
  <c r="K482" i="4"/>
  <c r="I483" i="4"/>
  <c r="J483" i="4" s="1"/>
  <c r="K483" i="4" s="1"/>
  <c r="I484" i="4"/>
  <c r="J484" i="4" s="1"/>
  <c r="I485" i="4"/>
  <c r="J485" i="4"/>
  <c r="K485" i="4" s="1"/>
  <c r="I486" i="4"/>
  <c r="J486" i="4"/>
  <c r="K486" i="4"/>
  <c r="I487" i="4"/>
  <c r="I488" i="4"/>
  <c r="J488" i="4" s="1"/>
  <c r="I489" i="4"/>
  <c r="J489" i="4"/>
  <c r="K489" i="4"/>
  <c r="I490" i="4"/>
  <c r="J490" i="4"/>
  <c r="K490" i="4"/>
  <c r="I491" i="4"/>
  <c r="J491" i="4" s="1"/>
  <c r="K491" i="4" s="1"/>
  <c r="I492" i="4"/>
  <c r="J492" i="4" s="1"/>
  <c r="I493" i="4"/>
  <c r="J493" i="4"/>
  <c r="K493" i="4" s="1"/>
  <c r="I494" i="4"/>
  <c r="J494" i="4"/>
  <c r="K494" i="4"/>
  <c r="I495" i="4"/>
  <c r="I496" i="4"/>
  <c r="J496" i="4" s="1"/>
  <c r="A15" i="4"/>
  <c r="A16" i="4"/>
  <c r="A17" i="4" s="1"/>
  <c r="A18" i="4" s="1"/>
  <c r="A19" i="4" s="1"/>
  <c r="A20" i="4" s="1"/>
  <c r="A21" i="4" s="1"/>
  <c r="A22" i="4" s="1"/>
  <c r="A23" i="4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B40" i="4"/>
  <c r="B41" i="4"/>
  <c r="B42" i="4"/>
  <c r="B43" i="4" s="1"/>
  <c r="B44" i="4" s="1"/>
  <c r="B45" i="4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14" i="4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J181" i="4" l="1"/>
  <c r="K181" i="4" s="1"/>
  <c r="J419" i="4"/>
  <c r="K419" i="4"/>
  <c r="J199" i="4"/>
  <c r="K199" i="4"/>
  <c r="J432" i="4"/>
  <c r="K432" i="4"/>
  <c r="K428" i="4"/>
  <c r="J45" i="4"/>
  <c r="K45" i="4" s="1"/>
  <c r="J398" i="4"/>
  <c r="K398" i="4" s="1"/>
  <c r="J341" i="4"/>
  <c r="K341" i="4"/>
  <c r="J225" i="4"/>
  <c r="K225" i="4" s="1"/>
  <c r="J209" i="4"/>
  <c r="K209" i="4"/>
  <c r="J64" i="4"/>
  <c r="K64" i="4" s="1"/>
  <c r="J422" i="4"/>
  <c r="K422" i="4" s="1"/>
  <c r="J405" i="4"/>
  <c r="K405" i="4" s="1"/>
  <c r="K387" i="4"/>
  <c r="J366" i="4"/>
  <c r="K366" i="4" s="1"/>
  <c r="J351" i="4"/>
  <c r="K351" i="4"/>
  <c r="K492" i="4"/>
  <c r="K484" i="4"/>
  <c r="K476" i="4"/>
  <c r="K468" i="4"/>
  <c r="K460" i="4"/>
  <c r="K452" i="4"/>
  <c r="K444" i="4"/>
  <c r="J435" i="4"/>
  <c r="K435" i="4"/>
  <c r="J391" i="4"/>
  <c r="K391" i="4" s="1"/>
  <c r="J333" i="4"/>
  <c r="K333" i="4"/>
  <c r="J327" i="4"/>
  <c r="K327" i="4" s="1"/>
  <c r="J276" i="4"/>
  <c r="K276" i="4" s="1"/>
  <c r="K260" i="4"/>
  <c r="J260" i="4"/>
  <c r="J495" i="4"/>
  <c r="K495" i="4" s="1"/>
  <c r="J487" i="4"/>
  <c r="K487" i="4" s="1"/>
  <c r="J479" i="4"/>
  <c r="K479" i="4"/>
  <c r="J471" i="4"/>
  <c r="K471" i="4" s="1"/>
  <c r="J463" i="4"/>
  <c r="K463" i="4" s="1"/>
  <c r="J455" i="4"/>
  <c r="K455" i="4" s="1"/>
  <c r="J447" i="4"/>
  <c r="K447" i="4"/>
  <c r="J311" i="4"/>
  <c r="K311" i="4" s="1"/>
  <c r="K109" i="4"/>
  <c r="J438" i="4"/>
  <c r="K438" i="4" s="1"/>
  <c r="K425" i="4"/>
  <c r="J416" i="4"/>
  <c r="K416" i="4"/>
  <c r="J373" i="4"/>
  <c r="K373" i="4" s="1"/>
  <c r="K355" i="4"/>
  <c r="J337" i="4"/>
  <c r="K337" i="4"/>
  <c r="J359" i="4"/>
  <c r="K359" i="4"/>
  <c r="K390" i="4"/>
  <c r="K358" i="4"/>
  <c r="J340" i="4"/>
  <c r="K340" i="4" s="1"/>
  <c r="K336" i="4"/>
  <c r="J331" i="4"/>
  <c r="K331" i="4" s="1"/>
  <c r="J321" i="4"/>
  <c r="K321" i="4"/>
  <c r="J295" i="4"/>
  <c r="K295" i="4" s="1"/>
  <c r="K244" i="4"/>
  <c r="J244" i="4"/>
  <c r="J131" i="4"/>
  <c r="K131" i="4" s="1"/>
  <c r="J53" i="4"/>
  <c r="K53" i="4"/>
  <c r="K496" i="4"/>
  <c r="K488" i="4"/>
  <c r="K480" i="4"/>
  <c r="K472" i="4"/>
  <c r="K464" i="4"/>
  <c r="K456" i="4"/>
  <c r="K448" i="4"/>
  <c r="K403" i="4"/>
  <c r="K389" i="4"/>
  <c r="K371" i="4"/>
  <c r="K357" i="4"/>
  <c r="K349" i="4"/>
  <c r="K339" i="4"/>
  <c r="J305" i="4"/>
  <c r="K305" i="4"/>
  <c r="J279" i="4"/>
  <c r="K279" i="4"/>
  <c r="J228" i="4"/>
  <c r="K228" i="4" s="1"/>
  <c r="K184" i="4"/>
  <c r="J139" i="4"/>
  <c r="K139" i="4" s="1"/>
  <c r="K135" i="4"/>
  <c r="J117" i="4"/>
  <c r="K117" i="4"/>
  <c r="J67" i="4"/>
  <c r="K67" i="4"/>
  <c r="K433" i="4"/>
  <c r="K430" i="4"/>
  <c r="K417" i="4"/>
  <c r="K414" i="4"/>
  <c r="K385" i="4"/>
  <c r="K382" i="4"/>
  <c r="K353" i="4"/>
  <c r="K344" i="4"/>
  <c r="J344" i="4"/>
  <c r="J289" i="4"/>
  <c r="K289" i="4" s="1"/>
  <c r="J263" i="4"/>
  <c r="K263" i="4"/>
  <c r="K212" i="4"/>
  <c r="J212" i="4"/>
  <c r="K192" i="4"/>
  <c r="J192" i="4"/>
  <c r="K188" i="4"/>
  <c r="J143" i="4"/>
  <c r="K143" i="4"/>
  <c r="J343" i="4"/>
  <c r="K343" i="4"/>
  <c r="J324" i="4"/>
  <c r="K324" i="4" s="1"/>
  <c r="J273" i="4"/>
  <c r="K273" i="4"/>
  <c r="J247" i="4"/>
  <c r="K247" i="4"/>
  <c r="J75" i="4"/>
  <c r="K75" i="4"/>
  <c r="K56" i="4"/>
  <c r="K406" i="4"/>
  <c r="K374" i="4"/>
  <c r="K348" i="4"/>
  <c r="J348" i="4"/>
  <c r="J308" i="4"/>
  <c r="K308" i="4" s="1"/>
  <c r="J257" i="4"/>
  <c r="K257" i="4" s="1"/>
  <c r="J231" i="4"/>
  <c r="K231" i="4" s="1"/>
  <c r="K173" i="4"/>
  <c r="K120" i="4"/>
  <c r="J79" i="4"/>
  <c r="K79" i="4"/>
  <c r="K352" i="4"/>
  <c r="J347" i="4"/>
  <c r="K347" i="4"/>
  <c r="J328" i="4"/>
  <c r="K328" i="4" s="1"/>
  <c r="J292" i="4"/>
  <c r="K292" i="4" s="1"/>
  <c r="J241" i="4"/>
  <c r="K241" i="4"/>
  <c r="J215" i="4"/>
  <c r="K215" i="4"/>
  <c r="J195" i="4"/>
  <c r="K195" i="4"/>
  <c r="J128" i="4"/>
  <c r="K128" i="4" s="1"/>
  <c r="K124" i="4"/>
  <c r="K60" i="4"/>
  <c r="K320" i="4"/>
  <c r="K304" i="4"/>
  <c r="K288" i="4"/>
  <c r="K272" i="4"/>
  <c r="K256" i="4"/>
  <c r="K240" i="4"/>
  <c r="K224" i="4"/>
  <c r="K208" i="4"/>
  <c r="J187" i="4"/>
  <c r="K187" i="4"/>
  <c r="K180" i="4"/>
  <c r="K176" i="4"/>
  <c r="J123" i="4"/>
  <c r="K123" i="4"/>
  <c r="K116" i="4"/>
  <c r="K112" i="4"/>
  <c r="J59" i="4"/>
  <c r="K59" i="4"/>
  <c r="K52" i="4"/>
  <c r="K48" i="4"/>
  <c r="K335" i="4"/>
  <c r="K319" i="4"/>
  <c r="K303" i="4"/>
  <c r="K287" i="4"/>
  <c r="K271" i="4"/>
  <c r="K255" i="4"/>
  <c r="K239" i="4"/>
  <c r="K223" i="4"/>
  <c r="K207" i="4"/>
  <c r="J179" i="4"/>
  <c r="K179" i="4"/>
  <c r="K175" i="4"/>
  <c r="K172" i="4"/>
  <c r="K168" i="4"/>
  <c r="J115" i="4"/>
  <c r="K115" i="4"/>
  <c r="K111" i="4"/>
  <c r="K108" i="4"/>
  <c r="K104" i="4"/>
  <c r="J51" i="4"/>
  <c r="K51" i="4" s="1"/>
  <c r="K47" i="4"/>
  <c r="K44" i="4"/>
  <c r="K40" i="4"/>
  <c r="K332" i="4"/>
  <c r="K325" i="4"/>
  <c r="K316" i="4"/>
  <c r="K309" i="4"/>
  <c r="K300" i="4"/>
  <c r="K293" i="4"/>
  <c r="K284" i="4"/>
  <c r="K277" i="4"/>
  <c r="K268" i="4"/>
  <c r="K261" i="4"/>
  <c r="K252" i="4"/>
  <c r="K245" i="4"/>
  <c r="K236" i="4"/>
  <c r="K229" i="4"/>
  <c r="K220" i="4"/>
  <c r="K213" i="4"/>
  <c r="K204" i="4"/>
  <c r="K197" i="4"/>
  <c r="J171" i="4"/>
  <c r="K171" i="4"/>
  <c r="K160" i="4"/>
  <c r="J107" i="4"/>
  <c r="K107" i="4" s="1"/>
  <c r="K100" i="4"/>
  <c r="K96" i="4"/>
  <c r="J43" i="4"/>
  <c r="K43" i="4"/>
  <c r="K32" i="4"/>
  <c r="K315" i="4"/>
  <c r="K299" i="4"/>
  <c r="K283" i="4"/>
  <c r="K267" i="4"/>
  <c r="K251" i="4"/>
  <c r="K235" i="4"/>
  <c r="K219" i="4"/>
  <c r="K203" i="4"/>
  <c r="J163" i="4"/>
  <c r="K163" i="4"/>
  <c r="K159" i="4"/>
  <c r="K156" i="4"/>
  <c r="K152" i="4"/>
  <c r="J99" i="4"/>
  <c r="K99" i="4"/>
  <c r="K95" i="4"/>
  <c r="K92" i="4"/>
  <c r="K88" i="4"/>
  <c r="K61" i="4"/>
  <c r="J35" i="4"/>
  <c r="K35" i="4"/>
  <c r="K31" i="4"/>
  <c r="K28" i="4"/>
  <c r="K24" i="4"/>
  <c r="K312" i="4"/>
  <c r="K296" i="4"/>
  <c r="K280" i="4"/>
  <c r="K264" i="4"/>
  <c r="K248" i="4"/>
  <c r="K232" i="4"/>
  <c r="K216" i="4"/>
  <c r="K200" i="4"/>
  <c r="J155" i="4"/>
  <c r="K155" i="4"/>
  <c r="K144" i="4"/>
  <c r="J91" i="4"/>
  <c r="K91" i="4"/>
  <c r="K80" i="4"/>
  <c r="J27" i="4"/>
  <c r="K27" i="4"/>
  <c r="K23" i="4"/>
  <c r="J147" i="4"/>
  <c r="K147" i="4"/>
  <c r="K140" i="4"/>
  <c r="K136" i="4"/>
  <c r="J83" i="4"/>
  <c r="K83" i="4"/>
  <c r="K76" i="4"/>
  <c r="K72" i="4"/>
  <c r="K14" i="4"/>
  <c r="K19" i="4"/>
  <c r="K16" i="4"/>
  <c r="K13" i="4"/>
  <c r="E497" i="4" l="1"/>
</calcChain>
</file>

<file path=xl/sharedStrings.xml><?xml version="1.0" encoding="utf-8"?>
<sst xmlns="http://schemas.openxmlformats.org/spreadsheetml/2006/main" count="983" uniqueCount="511">
  <si>
    <t>Итого начальная сумма цен единиц работ на 2026 год</t>
  </si>
  <si>
    <t>Установка дорожных знаков на металлических рамных конструкциях: Г-образных (без учёта щита)  ( Вид 2 )</t>
  </si>
  <si>
    <t>Установка дорожных знаков на специализированных опорах дорожных: Г-образных (без учёта щита)  ( Вид 2 )</t>
  </si>
  <si>
    <t>Установка дорожных знаков бесфундаментных на металлических стойках, толщина стенки 3,5 мм, высота 3500 мм  ( Вид 2 )</t>
  </si>
  <si>
    <t>Установка дорожных знаков бесфундаментных на металлических стойках, толщина стенки 3,5 мм, высота 4000 мм  ( Вид 2 )</t>
  </si>
  <si>
    <t>Установка дорожных знаков бесфундаментных на оцинкованных стойках, толщина стенки 3,5 мм, высота 3500 мм  ( Вид 2 )</t>
  </si>
  <si>
    <t>Установка дорожных знаков бесфундаментных на оцинкованных стойках, толщина стенки 3,5 мм, высота 4000 мм  ( Вид 2 )</t>
  </si>
  <si>
    <t>Установка временных дорожных знаков на металлических стойках  ( Вид 2 )</t>
  </si>
  <si>
    <t>Установка  дорожных знаков на деревянных стойках  ( Вид 2 )</t>
  </si>
  <si>
    <t>Установка деревянных стоек дорожных знаков (без стоимости знаков)  ( Вид 2 )</t>
  </si>
  <si>
    <t>Устройство шумовых полос  ( Вид 2 )</t>
  </si>
  <si>
    <t>Устройство искусственных дорожных неровностей (монолитные из асфальтобетона)  ( Вид 2 )</t>
  </si>
  <si>
    <t>Устройство искусственных дорожных неровностей (сборно-разборные конструкции)   ( Вид 2 )</t>
  </si>
  <si>
    <t>Демонтаж искусственных дорожных неровностей (сборно-разборные конструкции)  ( Вид 2 )</t>
  </si>
  <si>
    <t>Очистка автобусных остановок, площадок отдыха и стоянок автомобилей от грязи, пыли и мусора вручную  ( Вид 2 )</t>
  </si>
  <si>
    <t>Уборка посадочных площадок от мусора, пыли и грязи вручную  ( Вид 2 )</t>
  </si>
  <si>
    <t>Очистка площадок отдыха и стоянок автомобилей от грязи, пыли и мусора комбинированной дорожной машиной  ( Вид 2 )</t>
  </si>
  <si>
    <t>Очистка автобусных остановок, площадок отдыха и стоянок автомобилей от грязи, пыли и мусора механической щеткой на тракторе  ( Вид 2 )</t>
  </si>
  <si>
    <t>Мойка шумозащитных экранов  ( Вид 2 )</t>
  </si>
  <si>
    <t>Очистка и мойка стен автопавильонов  ( Вид 2 )</t>
  </si>
  <si>
    <t>Очистка и мойка подпорных стен  ( Вид 2 )</t>
  </si>
  <si>
    <t>Уборка мусора из контейнеров и урн  ( Вид 2 )</t>
  </si>
  <si>
    <t>Утилизация мусора  ( Вид 2 )</t>
  </si>
  <si>
    <t>Покраска автопавильонов  ( Вид 2 )</t>
  </si>
  <si>
    <t>Покраска шумозащитных экранов  ( Вид 2 )</t>
  </si>
  <si>
    <t>Заделка трещин, раковин и сколов стен железобетонных или оштукатуренных автопавильонов  ( Вид 2 )</t>
  </si>
  <si>
    <t>Восстановление кровли автопавильонов  ( Вид 2 )</t>
  </si>
  <si>
    <t>Замена повреждённых/утраченных элементов автопавильонов из поликарбоната  ( Вид 2 )</t>
  </si>
  <si>
    <t>Установка недостающих автопавильонов  ( Вид 2 )</t>
  </si>
  <si>
    <t>Замена существующих автопавильонов  ( Вид 2 )</t>
  </si>
  <si>
    <t>Монтаж автопавильона  ( Вид 2 )</t>
  </si>
  <si>
    <t>Демонтаж автопавильона  ( Вид 2 )</t>
  </si>
  <si>
    <t>Установка табло расписания  ( Вид 2 )</t>
  </si>
  <si>
    <t>Устранение отдельных повреждений деревянных скамеек  ( Вид 2 )</t>
  </si>
  <si>
    <t>Установка скамеек   ( Вид 2 )</t>
  </si>
  <si>
    <t>Установка урны металлической опрокидывающейся  ( Вид 2 )</t>
  </si>
  <si>
    <t>Замена урны металлической опрокидывающейся  ( Вид 2 )</t>
  </si>
  <si>
    <t>Устранение отдельных повреждений урны  ( Вид 2 )</t>
  </si>
  <si>
    <t>Устранение повреждений бортовых камней   ( Вид 2 )</t>
  </si>
  <si>
    <t>Замена бортовых камней железобетонных БР 300.30.18  ( Вид 2 )</t>
  </si>
  <si>
    <t>Замена бортовых камней железобетонных БР 100.20.8  ( Вид 2 )</t>
  </si>
  <si>
    <t>Замена бортовых камней железобетонных БР 100.30.18  ( Вид 2 )</t>
  </si>
  <si>
    <t>Установка бортовых камней железобетонных БР 300.30.18  ( Вид 2 )</t>
  </si>
  <si>
    <t>Демонтаж бортовых камней железобетонных БР 300.30.18  ( Вид 2 )</t>
  </si>
  <si>
    <t>Установка бортовых камней железобетонных БР 100.30.18  ( Вид 2 )</t>
  </si>
  <si>
    <t>Демонтаж бортовых камней железобетонных БР 100.30.18  ( Вид 2 )</t>
  </si>
  <si>
    <t>Установка бортовых камней железобетонных БР 100.20.8  ( Вид 2 )</t>
  </si>
  <si>
    <t>Демонтаж бортовых камней железобетонных БР 100.20.8  ( Вид 2 )</t>
  </si>
  <si>
    <t>Механизированная очистка тротуаров от мусора, пыли и грязи  ( Вид 2 )</t>
  </si>
  <si>
    <t>Очистка тротуаров от мусора, пыли и грязи вручную  ( Вид 2 )</t>
  </si>
  <si>
    <t>Восстановление тротуаров песчаной асфальтобетонной смесью, 
толщина слоя 30 мм  ( Вид 2 )</t>
  </si>
  <si>
    <t>Заделка ям на тротуарах  ( Вид 2 )</t>
  </si>
  <si>
    <t>Удаление снежного вала шнекороторными снегоочистителями  ( Вид 2 )</t>
  </si>
  <si>
    <t>Очистка дороги от снега плужным оборудованием на базе комбинированной дорожной машины  ( Вид 2 )</t>
  </si>
  <si>
    <t>Очистка дороги от снега плугом и щеткой или щеткой комбинированной дорожной машиной  ( Вид 2 )</t>
  </si>
  <si>
    <t>Очистка обочин от снега плужными снегоочистителями комбинированной дорожной машины  ( Вид 2 )</t>
  </si>
  <si>
    <t>Очистка дороги от снега плужными снегоочистителями на базе трактора  ( Вид 2 )</t>
  </si>
  <si>
    <t>Очистка дороги от снежного наката автогрейдером  ( Вид 2 )</t>
  </si>
  <si>
    <t>Очистка дороги от снега автогрейдерами: снег рыхлый до 500 мм  ( Вид 2 )</t>
  </si>
  <si>
    <t>Уборка снежных валов автогрейдерами  ( Вид 2 )</t>
  </si>
  <si>
    <t>Очистка обочин от снега  автогрейдерами с использованием бокового отвала снег рыхлый  ( Вид 2 )</t>
  </si>
  <si>
    <t>Очистка дороги от снега бульдозером  ( Вид 2 )</t>
  </si>
  <si>
    <t>Уборка снежных валов бульдозерами  ( Вид 2 )</t>
  </si>
  <si>
    <t>Очистка тротуаров от снега фронтальным погрузчиком  ( Вид 2 )</t>
  </si>
  <si>
    <t>Очистка дороги от снега фронтальным погрузчиком  ( Вид 2 )</t>
  </si>
  <si>
    <t>Подсыпка автобусных остановок песком  ( Вид 2 )</t>
  </si>
  <si>
    <t>Распределение противогололёдных материалов комбинированной дорожной машиной (без учёта материала)  ( Вид 2 )</t>
  </si>
  <si>
    <t>Распределение пескосоляной смеси комбинированной дорожной машиной  ( Вид 2 )</t>
  </si>
  <si>
    <t>Распределение песчаной смеси комбинированной дорожной машиной  ( Вид 2 )</t>
  </si>
  <si>
    <t>Распределение жидких противогололедных материалов комбинированной дорожной машиной  ( Вид 2 )</t>
  </si>
  <si>
    <t>Распределение твердых хлоридов механизированным способом  ( Вид 2 )</t>
  </si>
  <si>
    <t>Доставка противогололедных материалов к месту распределения  ( Вид 2 )</t>
  </si>
  <si>
    <t>Установка и уборка планочных щитов  ( Вид 2 )</t>
  </si>
  <si>
    <t>Перестановка щитов   ( Вид 2 )</t>
  </si>
  <si>
    <t>Восстановление временных снегозадерживающих устройств  ( Вид 2 )</t>
  </si>
  <si>
    <t>Изготовление снегозащитных планочных щитов  ( Вид 2 )</t>
  </si>
  <si>
    <t>Снегозадержание  ( Вид 2 )</t>
  </si>
  <si>
    <t>Заготовка,  установка и уборка указательных вех  ( Вид 2 )</t>
  </si>
  <si>
    <t>Изготовление указательных вех со светоотражающими элементами  ( Вид 2 )</t>
  </si>
  <si>
    <t>Установка указательных вех в грунт  ( Вид 2 )</t>
  </si>
  <si>
    <t>Уборка указательных вех  ( Вид 2 )</t>
  </si>
  <si>
    <t>Закрытие на зиму и открытие водопропускных труб диаметр отверстия до 2 м2  ( Вид 2 )</t>
  </si>
  <si>
    <t>Очистка отверстий труб от снега и льда ( Вид 2 )</t>
  </si>
  <si>
    <t>Очистка дорожных знаков от снега вручную  ( Вид 2 )</t>
  </si>
  <si>
    <t>Разбрасывание снега возле стоек дорожных знаков, сигнальных столбиков, тумб, делиниаторов и опор дорожного освещения  ( Вид 2 )</t>
  </si>
  <si>
    <t>Очистка барьерного ограждения от снега и грязи вручную  ( Вид 2 )</t>
  </si>
  <si>
    <t>Очистка барьерного ограждения от снега и грязи с применением оборудования комбинированных дорожных машин: боковой щеткой  ( Вид 2 )</t>
  </si>
  <si>
    <t>Уборка снега за барьерным ограждением вручную вдоль шумозащитных экранов  ( Вид 2 )</t>
  </si>
  <si>
    <t>Уборка снега из-под металлического барьерного ограждения вручную вдоль края проезжей части  ( Вид 2 )</t>
  </si>
  <si>
    <t>Уборка снега из-под металлического барьерного ограждения вручную на  разделительной полосе  ( Вид 2 )</t>
  </si>
  <si>
    <t>Уборка снега у парапетного железобетонного барьерного ограждения вручную вдоль края проезжей части  ( Вид 2 )</t>
  </si>
  <si>
    <t>Уборка снега у парапетного железобетонного барьерного ограждения вручную на разделительной полосе  ( Вид 2 )</t>
  </si>
  <si>
    <t>Уборка снега за барьерным ограждением вручную вдоль края проезжей части  ( Вид 2 )</t>
  </si>
  <si>
    <t>Уборка снега за барьерным ограждением автогрейдерами с навесным оборудованием  ( Вид 2 )</t>
  </si>
  <si>
    <t>Уборка снега за барьерным ограждением тракторами с навесным оборудованием  ( Вид 2 )</t>
  </si>
  <si>
    <t>Уборка снега за барьерным ограждением тракторами с навесным оборудованием вдоль края проезжей части  ( Вид 2 )</t>
  </si>
  <si>
    <t>Очистка тротуаров, площадок отдыха и стоянок автомобилей от снега и льда: вручную  ( Вид 2 )</t>
  </si>
  <si>
    <t>Очистка проезжей части на ширине 1 м вдоль мостового ограждения от снега  вручную   ( Вид 2 )</t>
  </si>
  <si>
    <t>Очистка тротуаров от снега и льда: механической щёткой на тракторе  ( Вид 2 )</t>
  </si>
  <si>
    <t>Очистка автопавильонов и территорий, прилегающих к ним, от мусора, снега и льда  ( Вид 2 )</t>
  </si>
  <si>
    <t>Очистка посадочных площадок от снега и льда вручную  ( Вид 2 )</t>
  </si>
  <si>
    <t>Очистка от снега и льда пешеходных переходов вручную  ( Вид 2 )</t>
  </si>
  <si>
    <t>Очистка покрытия от снега и льда вручную  ( Вид 2 )</t>
  </si>
  <si>
    <t>Очистка от снега и льда лестничных сходов вручную   ( Вид 2 )</t>
  </si>
  <si>
    <t>Очистка перильного  ограждения лестничных сходов от снега и льда   ( Вид 2 )</t>
  </si>
  <si>
    <t>Россыпь песка вручную на тротуарах, остановках общественного транспорта, площадках отдыха  ( Вид 2 )</t>
  </si>
  <si>
    <t>Распределение противогололедных материалов вручную  ( Вид 2 )</t>
  </si>
  <si>
    <t>Ликвидация наледи  ( Вид 2 )</t>
  </si>
  <si>
    <t>Дежурство звена по снегоочистке на перевальных участках  ( Вид 2 )</t>
  </si>
  <si>
    <t>Патрулирование с использованием комбинированной дорожной машины  ( Вид 2 )</t>
  </si>
  <si>
    <t>Очистка тротуара от снега и льда с использованием средств малой механизации  ( Вид 2 )</t>
  </si>
  <si>
    <t>Очистка от снега и льда зон под ограждениями безопасности вручную  ( Вид 2 )</t>
  </si>
  <si>
    <t>Очистка водоотводных трубок от снега и льда  ( Вид 2 )</t>
  </si>
  <si>
    <t>Очистка от снега и льда водоотводных лотков под деформационными швами  мостовых сооружений  ( Вид 2 )</t>
  </si>
  <si>
    <t>Очистка от снега и льда пазов и зазоров для перемещения конструкций деформационных швов мостовых сооружений  ( Вид 2 )</t>
  </si>
  <si>
    <t>Очистка перильных ограждений от снега и грязи   ( Вид 2 )</t>
  </si>
  <si>
    <t>Очистка ограждений безопасности на мостовых сооружениях и подходах к ним от снега и грязи  ( Вид 2 )</t>
  </si>
  <si>
    <t>Очистка от снега и льда водоотводных лотков  мостовых сооружений  ( Вид 2 )</t>
  </si>
  <si>
    <t>Нанесение сплошных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1.1, 1.2.1, 1.4, ширина 0,1 м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</si>
  <si>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1.5, ширина 0,1 м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</si>
  <si>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1.6, ширина 0,1 м  ( Вид 2 )</t>
  </si>
  <si>
    <t>Нанесение линий дорожной разметки на покрытие без поверхностной обработки пистолетом-распылителем, разметка: 1.14.1, длина полосы 4 м  ( Вид 2 )</t>
  </si>
  <si>
    <t>Нанесение стрел на покрытие без поверхностной обработки пистолетом-распылителем, расчетная скорость до 60 км/ч, разметка: 1.20  ( Вид 2 )</t>
  </si>
  <si>
    <t>Нанесение прерывистых линий краской маркировочной машиной на покрытие без поверхностной обработки с предварительной разметкой шнуром, разметка: 1.7, ширина 0,1 м  ( Вид 2 )</t>
  </si>
  <si>
    <t>Нанесение линий дорожной разметки на покрытие без поверхностной обработки пистолетом-распылителем, разметка: 1.11, ширина 0,1 м  ( Вид 2 )</t>
  </si>
  <si>
    <t>Нанесение прерывистых линий краской маркировочной машиной на покрытие без поверхностной обработки с предварительной разметкой шнуром, разметка: 1.5, ширина 0,1 м  ( Вид 2 )</t>
  </si>
  <si>
    <t>Нанесение линий дорожной разметки на покрытие без поверхностной обработки пистолетом-распылителем, разметка: 1.12  ( Вид 2 )</t>
  </si>
  <si>
    <t>Нанесение линий дорожной разметки на покрытие без поверхностной обработки пистолетом-распылителем, разметка: 1.13  ( Вид 2 )</t>
  </si>
  <si>
    <t>Нанесение прерывистых линий краской маркировочной машиной на покрытие без поверхностной обработки с предварительной разметкой шнуром, разметка: 1.8, ширина 0,2 м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</si>
  <si>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1.11, ширина 0,1 м  ( Вид 2 )</t>
  </si>
  <si>
    <t>Нанесение стрел на покрытие без поверхностной обработки пистолетом-распылителем, расчетная скорость до 60 км/ч, разметка: 1.18.1  ( Вид 2 )</t>
  </si>
  <si>
    <t>Нанесение стрел на покрытие без поверхностной обработки пистолетом-распылителем, расчетная скорость до 60 км/ч, разметка: 1.19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</si>
  <si>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1.2.2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</si>
  <si>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1.7, ширина 0,1 м  ( Вид 2 )</t>
  </si>
  <si>
    <t>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восстановление, разметка: 1.8, ширина 0,2 м  ( Вид 2 )</t>
  </si>
  <si>
    <t>Нанесение сплошных линий краской маркировочной машиной на покрытие без поверхностной обработки с предварительной разметкой шнуром, разметка: 1.12  ( Вид 2 )</t>
  </si>
  <si>
    <t>Нанесение сплошных линий краской маркировочной машиной на покрытие без поверхностной обработки с предварительной разметкой шнуром, разметка: 1.3, ширина 0,1 м  ( Вид 2 )</t>
  </si>
  <si>
    <t>Нанесение букв, цифр и символов, дублирующих дорожные знаки, на покрытие с поверхностной обработкой пистолетом-распылителем, разметка: 1.22 при расчетной скорости до 60 км/ч, 1.21, 1.23, 1.24.1-1.24.3  ( Вид 2 )</t>
  </si>
  <si>
    <t>Нанесение линий дорожной разметки на покрытие без поверхностной обработки вручную, разметка: 1.15, 1.25  ( Вид 2 )</t>
  </si>
  <si>
    <t>Нанесение островков 1.16.1-1.16.3 на покрытие без поверхностной обработки вручную  ( Вид 2 )</t>
  </si>
  <si>
    <t>Нанесение горизонтальной дорожной разметки краской (эмаль) тип 1.1  ( Вид 2 )</t>
  </si>
  <si>
    <t>Нанесение горизонтальной дорожной разметки краской (эмаль) тип 1.2  ( Вид 2 )</t>
  </si>
  <si>
    <t>Нанесение горизонтальной дорожной разметки краской (эмаль) тип 1.3  ( Вид 2 )</t>
  </si>
  <si>
    <t>Нанесение горизонтальной дорожной разметки краской (эмаль) тип 1.8  ( Вид 2 )</t>
  </si>
  <si>
    <t>Нанесение горизонтальной дорожной разметки краской (эмаль) тип 1.14.1  ( Вид 2 )</t>
  </si>
  <si>
    <t>Нанесение горизонтальной дорожной разметки краской (эмаль) тип 1.17  ( Вид 2 )</t>
  </si>
  <si>
    <t>Нанесение горизонтальной дорожной разметки краской (эмаль) тип 1.23.1  ( Вид 2 )</t>
  </si>
  <si>
    <t>Нанесение горизонтальной дорожной разметки термопластом со световозвращающим наполнителем и его посыпкой при нанесении  тип 1.1  ( Вид 2 )</t>
  </si>
  <si>
    <t>Нанесение горизонтальной дорожной разметки термопластом со световозвращающим наполнителем и его посыпкой при нанесении тип 1.2.1  ( Вид 2 )</t>
  </si>
  <si>
    <t>Нанесение горизонтальной дорожной разметки термопластом со световозвращающим наполнителем и его посыпкой при нанесении тип 1.2  ( Вид 2 )</t>
  </si>
  <si>
    <t>Нанесение горизонтальной дорожной разметки термопластом со световозвращающим наполнителем и его посыпкой при нанесении тип 1.3  ( Вид 2 )</t>
  </si>
  <si>
    <t>Нанесение горизонтальной дорожной разметки термопластом со световозвращающим наполнителем и его посыпкой при нанесении тип 1.5  ( Вид 2 )</t>
  </si>
  <si>
    <t>Нанесение горизонтальной дорожной разметки термопластом со световозвращающим наполнителем и его посыпкой при нанесении тип 1.6  ( Вид 2 )</t>
  </si>
  <si>
    <t>Нанесение горизонтальной дорожной разметки термопластом со световозвращающим наполнителем и его посыпкой при нанесении тип 1.7  ( Вид 2 )</t>
  </si>
  <si>
    <t>Нанесение горизонтальной дорожной разметки термопластом со световозвращающим наполнителем и его посыпкой при нанесении тип 1.8  ( Вид 2 )</t>
  </si>
  <si>
    <t>Нанесение горизонтальной дорожной разметки термопластом со световозвращающим наполнителем и его посыпкой при нанесении тип 1.13  ( Вид 2 )</t>
  </si>
  <si>
    <t>Нанесение горизонтальной дорожной разметки термопластом со световозвращающим наполнителем и его посыпкой при нанесении тип 1.14.1  ( Вид 2 )</t>
  </si>
  <si>
    <t>Нанесение горизонтальной дорожной разметки термопластом со световозвращающим наполнителем и его посыпкой при нанесении тип 1.18  ( Вид 2 )</t>
  </si>
  <si>
    <t>Нанесение горизонтальной дорожной разметки термопластом со световозвращающим наполнителем и его посыпкой при нанесении тип 1.19  ( Вид 2 )</t>
  </si>
  <si>
    <t>Нанесение горизонтальной дорожной разметки термопластом со световозвращающим наполнителем и его посыпкой при нанесении тип 1.20  ( Вид 2 )</t>
  </si>
  <si>
    <t>Нанесение горизонтальной дорожной разметки термопластом со световозвращающим наполнителем и его посыпкой при нанесении тип 1.16.1  ( Вид 2 )</t>
  </si>
  <si>
    <t>Нанесение горизонтальной дорожной разметки термопластом со световозвращающим наполнителем и его посыпкой при нанесении тип 1.16.2  ( Вид 2 )</t>
  </si>
  <si>
    <t>Нанесение горизонтальной дорожной разметки термопластом со световозвращающим наполнителем и его посыпкой при нанесении тип 1.16.3  ( Вид 2 )</t>
  </si>
  <si>
    <t>Нанесение прерывистых линий дорожной разметки термопластиком маркировочной машиной на покрытие без поверхностной обработки, разметка 1.11, ширина 0,1 м  ( Вид 2 )</t>
  </si>
  <si>
    <t>Нанесение линий горизонтальной дорожной разметки пластиком холодного формирования механизированным способом  ( Вид 2 )</t>
  </si>
  <si>
    <t>Нанесение обозначений горизонтальной дорожной разметки пластиком холодного формирования вручную  ( Вид 2 )</t>
  </si>
  <si>
    <t>Демаркировка линий дорожной разметки  ( Вид 2 )</t>
  </si>
  <si>
    <t>Вырубка деревьев  ( Вид 2 )</t>
  </si>
  <si>
    <t>Вырубка кустарника и подлеска вручную  ( Вид 2 )</t>
  </si>
  <si>
    <t>Обрезка и прореживание крон деревьев с автогидроподъёмника  ( Вид 2 )</t>
  </si>
  <si>
    <t>Корчевка пней механизированным способом  ( Вид 2 )</t>
  </si>
  <si>
    <t>Дробление древесно-кустарниковой растительности в щепу  ( Вид 2 )</t>
  </si>
  <si>
    <t>Срезка кустарника и мелколесья  ( Вид 2 )</t>
  </si>
  <si>
    <t>Ликвидация нежелательной растительности химическим способом  ( Вид 2 )</t>
  </si>
  <si>
    <t>Валка деревьев диаметром ствола более 500 мм с использованием автогидроподъемника  ( Вид 2 )</t>
  </si>
  <si>
    <t>Ликвидация корчехода  ( Вид 2 )</t>
  </si>
  <si>
    <t>Очистка русел мостов от наносов бульдозером с перемещением до 10 м  ( Вид 2 )</t>
  </si>
  <si>
    <t>Очистка полос безопасности ездового полотна мостовых сооружений и обочин подходов к ним: вручную  ( Вид 2 )</t>
  </si>
  <si>
    <t>Очистка проезжей части на ширине 1 м вдоль мостового ограждения от грязи и посторонних предметов вручную   ( Вид 2 )</t>
  </si>
  <si>
    <t>Очистка тротуаров от мусора и грязи вручную  ( Вид 2 )</t>
  </si>
  <si>
    <t>Очистка от грязи и мусора тротуаров средствами малой механизации  ( Вид 2 )</t>
  </si>
  <si>
    <t>Очистка от грязи и мусора зон под ограждениями вручную  ( Вид 2 )</t>
  </si>
  <si>
    <t>Очистка от мусора и грязи лестничных сходов (Мостовые сооружения)  ( Вид 2 )</t>
  </si>
  <si>
    <t>Восстановление ступеней лестничных сходов (Мостовые сооружения)  ( Вид 2 )</t>
  </si>
  <si>
    <t>Очистка водоотводных трубок от грязи и мусора  ( Вид 2 )</t>
  </si>
  <si>
    <t>Очистка от грязи и мусора пазов и зазоров для перемещения конструкций деформационных швов мостовых сооружений  ( Вид 2 )</t>
  </si>
  <si>
    <t>Очистка от грязи водоотводных лотков под деформационными швами мостовых сооружений  ( Вид 2 )</t>
  </si>
  <si>
    <t>Очистка от грязи перильных ограждений и ограждений безопасности высотой до 0,75 м  ( Вид 2 )</t>
  </si>
  <si>
    <t>Очистка подходов и подмостовых зон мостовых сооружений от мусора  ( Вид 2 )</t>
  </si>
  <si>
    <t>Очистка подходов и подмостовых зон мостовых сооружений от кустарника  ( Вид 2 )</t>
  </si>
  <si>
    <t>Скашивание травы подходов и подмостовых зон мостовых сооружений  ( Вид 2 )</t>
  </si>
  <si>
    <t>Очистка водоотводных лотков мостовых сооружений от грязи и мусора  ( Вид 2 )</t>
  </si>
  <si>
    <t>Прочистка и промывка подвесных дренажных устройств  ( Вид 2 )</t>
  </si>
  <si>
    <t>Очистка открытой системы водоотвода (водосбросы, гасители у подошвы насыпи и в кюветах) (Мостовые сооружения)  ( Вид 2 )</t>
  </si>
  <si>
    <t>Проверка состояния пролетных строений: текущий осмотр  ( Вид 2 )</t>
  </si>
  <si>
    <t>Проверка состояния пролетных строений: периодический осмотр  ( Вид 2 )</t>
  </si>
  <si>
    <t>Проверка состояния пролетных строений осмотр нижних поверхностей с автогидроподъемника  ( Вид 2 )</t>
  </si>
  <si>
    <t>Проверка состояния опорных частей текущий осмотр  ( Вид 2 )</t>
  </si>
  <si>
    <t>Проверка состояния опорных частей, периодический осмотр  ( Вид 2 )</t>
  </si>
  <si>
    <t>Проверка состояния опор, текущий осмотр  ( Вид 2 )</t>
  </si>
  <si>
    <t>Проверка состояния опор, периодический осмотр  ( Вид 2 )</t>
  </si>
  <si>
    <t>Проверка состояния под мостовой зоны: текущий осмотр  ( Вид 2 )</t>
  </si>
  <si>
    <t>Проверка состояния подмостовой зоны: периодический осмотр  ( Вид 2 )</t>
  </si>
  <si>
    <t>Проверка состояния подходов: текущий осмотр  ( Вид 2 )</t>
  </si>
  <si>
    <t>Проверка состояния подходов: периодический осмотр  ( Вид 2 )</t>
  </si>
  <si>
    <t>Восстановление по фермам настила рабочего толщиной 50 мм сплошного  ( Вид 2 )</t>
  </si>
  <si>
    <t>Демонтаж  по фермам настила рабочего толщиной 50 мм сплошного  ( Вид 2 )</t>
  </si>
  <si>
    <t>Восстановление деревянных перил на мостах и путепроводах без укладки дополнительных поперечин  ( Вид 2 )</t>
  </si>
  <si>
    <t>Снятие поперечин и прогонов, негодных к укладке вновь, и металлических скреплений с отноской их на расстояние до 20 м, длина элемента до 6 м  ( Вид 2 )</t>
  </si>
  <si>
    <t>Укладка  поперечин и прогонов с подноской их на расстояние до 20 м, пригонкой и проверкой по уровню, антисептированием и постановкой скреплений, длина элемента до 6 м  ( Вид 2 )</t>
  </si>
  <si>
    <t>Снятие перил, настила тротуара или защитной полоски, кобылок и скреплений  ( Вид 2 )</t>
  </si>
  <si>
    <t>Постановка ранее снятых частей перил и тротуара  ( Вид 2 )</t>
  </si>
  <si>
    <t>Снятие колесоотбойных брусьев на болтах  ( Вид 2 )</t>
  </si>
  <si>
    <t>Укладка ранее снятых колесоотбойных брусьев с креплением их болтами  ( Вид 2 )</t>
  </si>
  <si>
    <t>Восстановление колесоотбойных брусьев  ( Вид 2 )</t>
  </si>
  <si>
    <t>Восстановление барьерного ограждения деревянного  ( Вид 2 )</t>
  </si>
  <si>
    <t>Антисептирование отдельных мест и конструкций  ( Вид 2 )</t>
  </si>
  <si>
    <t>Погрузка снега  ( Вид 2 )</t>
  </si>
  <si>
    <t>Погрузка и вывоз снега   ( Вид 2 )</t>
  </si>
  <si>
    <t>Погрузка материалов в автотранспортные средства вручную сподручные и навалочные грузы  ( Вид 2 )</t>
  </si>
  <si>
    <t>Погрузочные работы кран-манипулятором до 5 тн  ( Вид 2 )</t>
  </si>
  <si>
    <t>Работа автокрана до 25 тн  ( Вид 2 )</t>
  </si>
  <si>
    <t>Работа автокрана до 40 тн  ( Вид 2 )</t>
  </si>
  <si>
    <t>Перевозка грузов автомобилями-самосвалами  на расстояние  до 1 км  ( Вид 2 )</t>
  </si>
  <si>
    <t>Перевозка грузов автомобилями-самосвалами на расстояние до 3 км  ( Вид 2 )</t>
  </si>
  <si>
    <t>Перевозка грузов автомобилями-самосвалами на расстояние до 5 км  ( Вид 2 )</t>
  </si>
  <si>
    <t>Перевозка грузов автомобилями-самосвалами на расстояние до 8 км  ( Вид 2 )</t>
  </si>
  <si>
    <t>Перевозка грузов автомобилями-самосвалами на расстояние до 10 км   ( Вид 2 )</t>
  </si>
  <si>
    <t>Перевозка грузов автомобилями-самосвалами на расстояние до 12 км  ( Вид 2 )</t>
  </si>
  <si>
    <t>Перевозка грузов автомобилями-самосвалами на расстояние до 15 км  ( Вид 2 )</t>
  </si>
  <si>
    <t>Перевозка грузов автомобилями-самосвалами на расстояние до 18 км   ( Вид 2 )</t>
  </si>
  <si>
    <t>Перевозка грузов автомобилями-самосвалами на расстояние до 20 км  ( Вид 2 )</t>
  </si>
  <si>
    <t>Перевозка грузов автомобилями-самосвалами на расстояние до 22 км  ( Вид 2 )</t>
  </si>
  <si>
    <t>Перевозка грузов автомобилями-самосвалами на расстояние до 24 км  ( Вид 2 )</t>
  </si>
  <si>
    <t>Перевозка грузов автомобилями-самосвалами на расстояние до 28 км  ( Вид 2 )</t>
  </si>
  <si>
    <t>Перевозка грузов автомобилями-самосвалами на расстояние до 30 км  ( Вид 2 )</t>
  </si>
  <si>
    <t>Перевозка грузов автомобилями-самосвалами на расстояние до 34 км  ( Вид 2 )</t>
  </si>
  <si>
    <t>Перевозка грузов автомобилями-самосвалами на расстояние до 35 км  ( Вид 2 )</t>
  </si>
  <si>
    <t>Перевозка грузов автомобилями-самосвалами на расстояние до 38 км  ( Вид 2 )</t>
  </si>
  <si>
    <t>Перевозка грузов автомобилями-самосвалами на расстояние до 53 км  ( Вид 2 )</t>
  </si>
  <si>
    <t>Перевозка грузов автомобилями-самосвалами на расстояние до 60 км  ( Вид 2 )</t>
  </si>
  <si>
    <t>Перевозка грузов автомобилями-самосвалами на расстояние до 65 км  ( Вид 2 )</t>
  </si>
  <si>
    <t>Перевозка грузов автомобилями-самосвалами на расстояние до 68 км  ( Вид 2 )</t>
  </si>
  <si>
    <t>Перевозка грузов автомобилями-самосвалами на расстояние до 73 км  ( Вид 2 )</t>
  </si>
  <si>
    <t>Перевозка грузов автомобилями-самосвалами на расстояние до 80 км  ( Вид 2 )</t>
  </si>
  <si>
    <t>Перевозка грузов автомобилями-самосвалами на расстояние до 160 км  ( Вид 2 )</t>
  </si>
  <si>
    <t>Перевозка грузов автомобилями-самосвалами на расстояние до 200 км   ( Вид 2 )</t>
  </si>
  <si>
    <t>Перевозка грузов автомобилями-самосвалами  на расстояние  до 230 км  ( Вид 2 )</t>
  </si>
  <si>
    <t>Перевозка грузов автомобилями-самосвалами  на расстояние  до 250 км  ( Вид 2 )</t>
  </si>
  <si>
    <t>Перевозка грузов автомобилями-самосвалами  на расстояние  до 280 км  ( Вид 2 )</t>
  </si>
  <si>
    <t>Перевозка грузов автомобилями-самосвалами  на расстояние  до 300 км  ( Вид 2 )</t>
  </si>
  <si>
    <t>Перевозка грузов автомобилями бортовыми  на расстояние до 55 км  ( Вид 2 )</t>
  </si>
  <si>
    <t>Перевозка грузов автомобилями бортовыми на расстояние до 100 км  ( Вид 2 )</t>
  </si>
  <si>
    <t>Перевозка грузов автомобилями бортовыми на расстояние до 200 км   ( Вид 2 )</t>
  </si>
  <si>
    <t>Перевозка грузов автомобилями бортовыми грузоподъемностью до 5 т на расстояние до 230 км  ( Вид 2 )</t>
  </si>
  <si>
    <t>Перевозка грузов автомобилями бортовыми грузоподъемностью до 5 т на расстояние до 250 км  ( Вид 2 )</t>
  </si>
  <si>
    <t>Перевозка грузов автомобилями бортовыми грузоподъемностью до 5 т на расстояние до 280 км  ( Вид 2 )</t>
  </si>
  <si>
    <t>Перевозка грузов автомобилями бортовыми грузоподъемностью до 5 т на расстояние до 300 км  ( Вид 2 )</t>
  </si>
  <si>
    <t>Освобождение проезжей части и земляного полотна от объектов, препятствующих проезду транспортных средств (тягач с прицепом 30 т)  ( Вид 2 )</t>
  </si>
  <si>
    <t>Освобождение проезжей части и земляного полотна от объектов, препятствующих проезду транспортных средств (бульдозер 180 л.с.)  ( Вид 2 )</t>
  </si>
  <si>
    <t>Учёт интенсивности дорожного движения  ( Вид 2 )</t>
  </si>
  <si>
    <t>Обследование автомобильных дорог и искусственных сооружений  ( Вид 2 )</t>
  </si>
  <si>
    <t>Дежурство автогрейдера  ( Вид 2 )</t>
  </si>
  <si>
    <t>Дежурство бульдозера  ( Вид 2 )</t>
  </si>
  <si>
    <t>Дежурство вахтового автомобиля  ( Вид 2 )</t>
  </si>
  <si>
    <t>Дежурство тягача с тралом 30 тн  ( Вид 2 )</t>
  </si>
  <si>
    <t>Дежурство экскаватора  ( Вид 2 )</t>
  </si>
  <si>
    <t>Доставка техники  на трале 30 тн с тягачем  ( Вид 2 )</t>
  </si>
  <si>
    <t>Работа вахтового автомобиля  ( Вид 2 )</t>
  </si>
  <si>
    <t>Работа бульдозера (165 л.с)  ( Вид 2 )</t>
  </si>
  <si>
    <t>Работа бульдозера (330 л.с)  ( Вид 2 )</t>
  </si>
  <si>
    <t>Работа автогрейдера  ( Вид 2 )</t>
  </si>
  <si>
    <t>Работа автосамосвала 10 т  ( Вид 2 )</t>
  </si>
  <si>
    <t>Работа автогидроподъемника  ( Вид 2 )</t>
  </si>
  <si>
    <t>Работа гидромолота  ( Вид 2 )</t>
  </si>
  <si>
    <t>Разработка грунта с погрузкой на автомобили-самосвалы экскаваторами с ковшом вместимостью 1 м3, группа грунтов 2  ( Вид 2 )</t>
  </si>
  <si>
    <t>Разработка грунта с погрузкой на автомобили-самосвалы экскаваторами с ковшом вместимостью 1 м3, группа грунтов 3  ( Вид 2 )</t>
  </si>
  <si>
    <t>Разработка грунта с погрузкой на автомобили-самосвалы экскаваторами с ковшом вместимостью 1 м3, группа грунтов 4  ( Вид 2 )</t>
  </si>
  <si>
    <t>Разработка скального грунта с применением гидромолота и погрузкой на автомобили-самосвалы экскаваторами с ковшом вместимостью 1 м3  ( Вид 2 )</t>
  </si>
  <si>
    <t>Работа бульдозера на отвале, группа грунтов 2-3  ( Вид 2 )</t>
  </si>
  <si>
    <t>Работа бульдозера на отвале, группа грунтов 4  ( Вид 2 )</t>
  </si>
  <si>
    <t>Работа бульдозера на отвале, группа грунтов 5-6  ( Вид 2 )</t>
  </si>
  <si>
    <t>Восстановление неукрепленных обочин песчано-гравийной смесью  ( Вид 2 )</t>
  </si>
  <si>
    <t>Подсыпка обочин песчано-гравийной смесью, толщина слоя 10 см  ( Вид 2 )</t>
  </si>
  <si>
    <t>Подсыпка обочин песчано-гравийной смесью, толщина слоя 10 см (на каждый 1 см изменения толщины добавлять к ЕР № 2)  ( Вид 2 )</t>
  </si>
  <si>
    <t>Подсыпка обочин щебёночно-песчаной смесью, толщина слоя 10 см  ( Вид 2 )</t>
  </si>
  <si>
    <t>Подсыпка обочин щебёночно-песчаной смесью, толщина слоя 10 см (на каждый 1 см изменения толщины добавлять к ЕР № 4)  ( Вид 2 )</t>
  </si>
  <si>
    <t>Уплотнение грунта катком 16 т  ( Вид 2 )</t>
  </si>
  <si>
    <t>Уплотнение грунта катком  30 т  ( Вид 2 )</t>
  </si>
  <si>
    <t>Уплотнение грунта вибрационными катками 2,2 т  ( Вид 2 )</t>
  </si>
  <si>
    <t>Уплотнение грунта пневматическими трамбовками  ( Вид 2 )</t>
  </si>
  <si>
    <t>Планировка автогрейдером гравийных обочин  ( Вид 2 )</t>
  </si>
  <si>
    <t>Планировка откосов выемок и насыпей экскаваторами, группа грунтов 1-2  ( Вид 2 )</t>
  </si>
  <si>
    <t>Восстановление берм экскаватором-планировщиком  ( Вид 2 )</t>
  </si>
  <si>
    <t>Восстановление берм вручную  ( Вид 2 )</t>
  </si>
  <si>
    <t>Восстановление берм дорожных знаков из песчано-гравийной смеси механизированным способом  ( Вид 2 )</t>
  </si>
  <si>
    <t>Засыпка грунтом промоин и ям на откосах и бермах с трамбованием вручную: грунт II группы  ( Вид 2 )</t>
  </si>
  <si>
    <t>Скашивание травы на обочинах и откосах земляного полотна механизированным способом  ( Вид 2 )</t>
  </si>
  <si>
    <t>Скашивание травы на обочинах и разделительной полосе  вручную  ( Вид 2 )</t>
  </si>
  <si>
    <t>Скашивание травы вручную в кюветах, на откосах земляного полотна, у оголовков водопропускных труб  ( Вид 2 )</t>
  </si>
  <si>
    <t>Скашивание травы на обочинах и откосах тротуара  вручную  ( Вид 2 )</t>
  </si>
  <si>
    <t>Скашивание травы на обочинах и откосах земляного полотна  мотокусторезами  ( Вид 2 )</t>
  </si>
  <si>
    <t>Откидывание травы на обрез вручную  ( Вид 2 )</t>
  </si>
  <si>
    <t>Устройство дренажных прорезей  ( Вид 2 )</t>
  </si>
  <si>
    <t>Очистка кювета от мусора и посторонних предметов  ( Вид 2 )</t>
  </si>
  <si>
    <t>Очистка водоотводных канав вручную с частичным восстановлением профиля грунт II группы  ( Вид 2 )</t>
  </si>
  <si>
    <t>Восстановление профиля водоотводных канав автогрейдером   ( Вид 2 )</t>
  </si>
  <si>
    <t>Восстановление профиля водоотводных канав экскаватором-планировщиком   ( Вид 2 )</t>
  </si>
  <si>
    <t>Восстановление укрепления стенок и дна кюветов и водоотводных канав  ( Вид 2 )</t>
  </si>
  <si>
    <t>Очистка открытой системы водоотвода (водоотводной лоток, пескоуловитель)  ( Вид 2 )</t>
  </si>
  <si>
    <t>Очистка открытой системы водоотвода подземного пешеходного перехода (водоотводной лоток)  ( Вид 2 )</t>
  </si>
  <si>
    <t>Очистка открытой системы водоотвода подпорной стены (водоотводной лоток)  ( Вид 2 )</t>
  </si>
  <si>
    <t>Прочистка и промывка закрытой системы водоотвода (трубы отвода воды из колодцев)  ( Вид 2 )</t>
  </si>
  <si>
    <t>Очистка открытой системы водоотвода (водосбросы, гасители у подошвы насыпи и в кюветах)  ( Вид 2 )</t>
  </si>
  <si>
    <t>Очистка открытой системы водоотвода (водоотводной лоток) водой из шланга под давлением   ( Вид 2 )</t>
  </si>
  <si>
    <t>Восстановление сборных бетонных водоотводных лотков  с металлическими решетками (крышками) на подготовленные основания  ( Вид 2 )</t>
  </si>
  <si>
    <t>Восстановление сборных бетонных водоотводных лотков  без решеток (крышек) на подготовленные основания  ( Вид 2 )</t>
  </si>
  <si>
    <t>Демонтаж сборных бетонных водоотводных лотков  ( Вид 2 )</t>
  </si>
  <si>
    <t>Замена отдельных звеньев бетонного водоотводного лотка  ( Вид 2 )</t>
  </si>
  <si>
    <t>Замена решеток (крышек) металлических щелевых для водоотводных лотков  ( Вид 2 )</t>
  </si>
  <si>
    <t>Ликвидация съездов в неустановленных местах  ( Вид 2 )</t>
  </si>
  <si>
    <t>Укрепление щебнем водоотводных канав   ( Вид 2 )</t>
  </si>
  <si>
    <t>Укрепление каменной наброской  ( Вид 2 )</t>
  </si>
  <si>
    <t>Устранение повреждений регуляционных сооружений  ( Вид 2 )</t>
  </si>
  <si>
    <t>Прочистка и промывка закрытой системы водоотвода (дождеприемные колодцы)  ( Вид 2 )</t>
  </si>
  <si>
    <t>Прочистка и промывка закрытой системы водоотвода (дождеприемные и смотровые колодцы)  ( Вид 2 )</t>
  </si>
  <si>
    <t>Замена дефектных решеток водоприемных колодцев  ( Вид 2 )</t>
  </si>
  <si>
    <t>Расчистка полосы отвода  в пределах  3 м от подошвы насыпи  от сухого валежника  и других материалов  ( Вид 2 )</t>
  </si>
  <si>
    <t>Ликвидация пучин земляного полотна песчано-гравийной смесью  ( Вид 2 )</t>
  </si>
  <si>
    <t>Ликвидация пучин земляного полотна скальным грунтом  ( Вид 2 )</t>
  </si>
  <si>
    <t>Планировка площадей ручным способом, группа грунтов 2  ( Вид 2 )</t>
  </si>
  <si>
    <t>Засыпка бутовым камнем автосамосвалами пионерным способом  ( Вид 2 )</t>
  </si>
  <si>
    <t>Засыпка вручную траншей, пазух котлованов и ям  ( Вид 2 )</t>
  </si>
  <si>
    <t>Восстановление непросадочного основания из грунтоцементной смеси с послойным трамбованием  ( Вид 2 )</t>
  </si>
  <si>
    <t>Укладка геосинтетического материала нетканного  ( Вид 2 )</t>
  </si>
  <si>
    <t>Укладка геосинтетического материала тканного  ( Вид 2 )</t>
  </si>
  <si>
    <t>Механизированная очистка покрытий  без увлажнения  ( Вид 2 )</t>
  </si>
  <si>
    <t>Механизированная очистка покрытий  с увлажнением  ( Вид 2 )</t>
  </si>
  <si>
    <t>Работа вакуумно-подметальной машины  ( Вид 2 )</t>
  </si>
  <si>
    <t>Уборка различных предметов и мусора с элементов автомобильной дороги  ( Вид 2 )</t>
  </si>
  <si>
    <t>Наметание каменной мелочи или высевок комбинированной дорожной машиной  ( Вид 2 )</t>
  </si>
  <si>
    <t>Заделка ям асфальтобетонных покрытий укатываемой асфальтобетонной смесью с разломкой старого покрытия отбойными молотками и уплотнением катком,  толщина слоя: до 50 мм, площадь выполнения работ  в одном месте до 5 м2  ( Вид 2 )</t>
  </si>
  <si>
    <t>Заделка ям асфальтобетонных покрытий укатываемой асфальтобетонной смесью с разломкой старого покрытия отбойными молотками и уплотнение катком, толщина слоя: до 70 мм, площадь выполнения работ в одном месте до 5 м2  ( Вид 2 )</t>
  </si>
  <si>
    <t>Заделка ям асфальтобетонных покрытий укатываемой асфальтобетонной смесью с разломкой старого покрытия отбойными молотками и уплотнением катком, толщина слоя: до 70 мм, площадь выполнения работ в одном месте до 25 м2  ( Вид 2 )</t>
  </si>
  <si>
    <t>Заделка ям асфальтобетонных покрытий укатываемой асфальтобетонной смесью с использованием дорожной фрезы и уплотнением катком,  толщина слоя: до 50 мм, площадь выполнения работ  в одном месте до 1 м2  ( Вид 2 )</t>
  </si>
  <si>
    <t>Заделка ям асфальтобетонных покрытий укатываемой асфальтобетонной смесью с использованием дорожной фрезы и уплотнением катком,  толщина слоя: до 50 мм, площадь выполнения работ  в одном месте до 3 м2  ( Вид 2 )</t>
  </si>
  <si>
    <t>Заделка ям асфальтобетонных покрытий укатываемой асфальтобетонной смесью с использованием дорожной фрезы и уплотнением катком,  толщина слоя: до 50 мм, площадь выполнения работ  в одном месте более 3 м2  ( Вид 2 )</t>
  </si>
  <si>
    <t>Распределение разобранного асфальтобетона по откосам насыпи ( Вид 2 )</t>
  </si>
  <si>
    <t>Заделка ям асфальтобетонных покрытий струйно-инъекционным методом, толщина слоя: 50 мм, площадь выполнения работ в одном месте до 1 м2  ( Вид 2 )</t>
  </si>
  <si>
    <t>Заделка ям асфальтобетонных покрытий холодной асфальтобетонной смесью с разломкой старого покрытия отбойными молотками и уплотнением катком, толщина слоя до 50 мм, площадь выполнения работ в одном месте до 5 м2  ( Вид 2 )</t>
  </si>
  <si>
    <t>Заделка ям асфальтобетонных покрытий холодной асфальтобетонной смесью без разломки старого покрытия, толщина слоя: до 50 мм, площадь выполнения работ в одном месте до 1 м2   ( Вид 2 )</t>
  </si>
  <si>
    <t>Срезка асфальтобетонного покрытия методом фрезерования, толщина слоя до 5 см  ( Вид 2 )</t>
  </si>
  <si>
    <t>Восстановление изношенных верхних слоев асфальтобетонного покрытия на отдельных участках длиной до 100 м  ( Вид 2 )</t>
  </si>
  <si>
    <t>Восстановление изношенных верхних слоев асфальтобетонного покрытия на отдельных участках длиной до 100 м (добавлять к ЕР № 71 на каждый 0,5 см изменения толщины покрытия) ( Вид 2 )</t>
  </si>
  <si>
    <t>Заделка трещин в асфальтобетонном покрытии вручную  ( Вид 2 )</t>
  </si>
  <si>
    <t>Доставка битума к месту работ на  1 км  ( Вид 2 )</t>
  </si>
  <si>
    <t>Заделка трещин  в асфальтобетонном покрытии битумной мастикой вручную  ( Вид 2 )</t>
  </si>
  <si>
    <t>Санация трещин в асфальтобетонном покрытии битумно-герметизирующей мастикой с применением комплекта машин для разделки трещин  ( Вид 2 )</t>
  </si>
  <si>
    <t>Заделка трещин в асфальтобетонном покрытии струйно-инъекционным методом  ( Вид 2 )</t>
  </si>
  <si>
    <t>Доставка материалов к месту работы для заделки ям, трещин асфальтобетонных покрытий струйно-инъекционным методом  ( Вид 2 )</t>
  </si>
  <si>
    <t>Очистка покрытий перед работами по их восстановлению и обеспыливанию   ( Вид 2 )</t>
  </si>
  <si>
    <t>Восстановление гравийных покрытий  ( Вид 2 )</t>
  </si>
  <si>
    <t>Планировка проезжей части гравийных дорог   ( Вид 2 )</t>
  </si>
  <si>
    <t>Восстановление профиля гравийных дорог без добавления нового материала  ( Вид 2 )</t>
  </si>
  <si>
    <t>Профилирование гравийных дорог автогрейдером  ( Вид 2 )</t>
  </si>
  <si>
    <t>Профилирование грунтовых дорог  ( Вид 2 )</t>
  </si>
  <si>
    <t>Восстановление профиля с добавлением нового материала: гравийных дорог  ( Вид 2 )</t>
  </si>
  <si>
    <t>Обеспыливание поверхности гравийных дорог хлористым кальцием  ( Вид 2 )</t>
  </si>
  <si>
    <t>Обеспыливание поверхности гравийных дорог водой  ( Вид 2 )</t>
  </si>
  <si>
    <t>Восстановление дорожной одежды грунтовых дорог на пучинистых участках  ( Вид 2 )</t>
  </si>
  <si>
    <t>Ликвидация колей фрезерования  ( Вид 2 )</t>
  </si>
  <si>
    <t>Восстановление оснований и покрытий из песчано-гравийных смесей: однослойных толщиной 12 см   ( Вид 2 )</t>
  </si>
  <si>
    <t>Восстановление оснований и покрытий из песчано-гравийных смесей однослойных толщиной более 12 см (добавлять к ЕР № 90 на каждый 1 см изменения толщины) ( Вид 2 )</t>
  </si>
  <si>
    <t>Устройство одиночной поверхностной обработки  ( Вид 2 )</t>
  </si>
  <si>
    <t>Устройство защитного слоя износа из литых эмульсионно-минеральных смесей  ( Вид 2 )</t>
  </si>
  <si>
    <t>Восстановление оснований и покрытий из песчано-гравийных или щебеночно-песчаных смесей однослойных толщиной 12 см (без учета материала)  ( Вид 2 )</t>
  </si>
  <si>
    <t>Восстановление оснований и покрытий из песчано-гравийных или щебеночно-песчаных смесей: однослойных толщиной более 12 см (без учета материала) (добавлять к ЕР № 94 на каждый 1 см изменения толщины) ( Вид 2 )</t>
  </si>
  <si>
    <t>Восстановление оснований и покрытий из щебеночно-песчаных смесей однослойных толщиной 12 см   ( Вид 2 )</t>
  </si>
  <si>
    <t>Восстановление оснований и покрытий из щебеночно-песчаных смесей однослойных толщиной более 12 см (добавлять к ЕР № 96 на каждый 1 см изменения толщины) ( Вид 2 )</t>
  </si>
  <si>
    <t>Восстановление покрытий из щебеночно-мастичных асфальтобетонных смесей (вид ЩМА-16) толщина слоя до 50 мм  ( Вид 2 )</t>
  </si>
  <si>
    <t>Восстановление покрытий из щебеночно-мастичных асфальтобетонных смесей (вид ЩМА-16) толщина слоя до 70 мм  ( Вид 2 )</t>
  </si>
  <si>
    <t>Окрашивание оголовков труб: известковым составом  ( Вид 2 )</t>
  </si>
  <si>
    <t>Очистка отверстий труб от грязи и наносов  ( Вид 2 )</t>
  </si>
  <si>
    <t>Заделка швов в железобетонных трубах цементным раствором  ( Вид 2 )</t>
  </si>
  <si>
    <t>Конопатка швов в железобетонных трубах  ( Вид 2 )</t>
  </si>
  <si>
    <t>Заделка трещин, раковин и сколов оголовков труб  ( Вид 2 )</t>
  </si>
  <si>
    <t>Устранение дефектов мощения русел труб и малых мостов  ( Вид 2 )</t>
  </si>
  <si>
    <t>Устранение дефектов водоотводных лотков  ( Вид 2 )</t>
  </si>
  <si>
    <t>Очистка русла от зарослей кустарника и травы  ( Вид 2 )</t>
  </si>
  <si>
    <t>Очистка русел труб и малых мостов от наносов с выноской грунта носилками  ( Вид 2 )</t>
  </si>
  <si>
    <t>Очистка русел труб и малых мостов механизированным способом  ( Вид 2 )</t>
  </si>
  <si>
    <t>Очистка от мусора и грязи лестничных сходов (Искусственные сооружения)   ( Вид 2 )</t>
  </si>
  <si>
    <t>Окраска металлического перильного ограждения пистолетом-распылителем  ( Вид 2 )</t>
  </si>
  <si>
    <t>Окраска металлического перильного ограждения кистью  ( Вид 2 )</t>
  </si>
  <si>
    <t>Предупредительные работы по защите автомобильных дорог от наводнений с применением стальных труб 500 мм  ( Вид 2 )</t>
  </si>
  <si>
    <t>Предупредительные работы по защите автомобильных дорог от наводнений с применением стальных труб 1000 мм  ( Вид 2 )</t>
  </si>
  <si>
    <t>Предупредительные работы по защите автомобильных дорог от наводнений с применением стальных труб 1500 мм  ( Вид 2 )</t>
  </si>
  <si>
    <t>Восстановление монолитного фундамента под тело трубы  ( Вид 2 )</t>
  </si>
  <si>
    <t>Замена звена прямоугольной железобетонной трубы  ( Вид 2 )</t>
  </si>
  <si>
    <t>Замена оголовков прямоугольной железобетонной  трубы  ( Вид 2 )</t>
  </si>
  <si>
    <t>Замена откосных стенок  прямоугольной железобетонной  трубы  ( Вид 2 )</t>
  </si>
  <si>
    <t>Замена водопропускных труб диаметром 1,5 м из металлических гофрированных материалов  ( Вид 2 )</t>
  </si>
  <si>
    <t>Восстановление бетонных фундаментов общего назначения объемом: до 5 м3  ( Вид 2 )</t>
  </si>
  <si>
    <t>Установка арматурной сетки  ( Вид 2 )</t>
  </si>
  <si>
    <t>Разборка сборных бетонных, железобетонных конструкций без применения гидромолота  пневмоинструмента  ( Вид 2 )</t>
  </si>
  <si>
    <t>Восстановление укрепления откосов сборным железобетоном толщиной до 20 см на готовое основание  ( Вид 2 )</t>
  </si>
  <si>
    <t>Разборка монолитных бетонных конструкций при толщине до 25 см  ( Вид 2 )</t>
  </si>
  <si>
    <t>Восстановление укрепления откосов, русла монолитным бетоном толщиной до 20 см на готовое основание  ( Вид 2 )</t>
  </si>
  <si>
    <t>Очистка тротуара подземного пешеходного перехода от мусора, пыли и грязи вручную  ( Вид 2 )</t>
  </si>
  <si>
    <t>Исправление металлического перильного ограждения лестничных сходов (Искусственные сооружения)  ( Вид 2 )</t>
  </si>
  <si>
    <t>Восстановление ступеней лестничных сходов (Искусственные сооружения)  ( Вид 2 )</t>
  </si>
  <si>
    <t>Восстановление габионных конструкций с заменой камня (взамен утраченного)  ( Вид 2 )</t>
  </si>
  <si>
    <t>Восстановление сетки габионных конструкций  ( Вид 2 )</t>
  </si>
  <si>
    <t>Восстановление откосов русел, укрепления насыпей искусственных сооружений  ( Вид 2 )</t>
  </si>
  <si>
    <t>Укрепление поверхности матрасно-габионными конструкциями  ( Вид 2 )</t>
  </si>
  <si>
    <t>Очистка и мойка водой из шланга дорожных знаков и указателей  ( Вид 2 )</t>
  </si>
  <si>
    <t>Очистка и мойка водой из шланга сигнальных столбиков и тумб  ( Вид 2 )</t>
  </si>
  <si>
    <t>Окраска щитков дорожных знаков  ( Вид 2 )</t>
  </si>
  <si>
    <t>Окраска элементов обустройства (щитков дорожных знаков композицией антикоррозийной цинконаполненной)  ( Вид 2 )</t>
  </si>
  <si>
    <t>Окраска стоек дорожных знаков  ( Вид 2 )</t>
  </si>
  <si>
    <t>Окраска элементов обустройства (стоек дорожных знаков композицией антикоррозийной цинконаполненной)  ( Вид 2 )</t>
  </si>
  <si>
    <t>Окраска сигнальных столбиков  ( Вид 2 )</t>
  </si>
  <si>
    <t>Выправка щитков дорожных знаков  ( Вид 2 )</t>
  </si>
  <si>
    <t>Замена щитков дорожных знаков  ( Вид 2 )</t>
  </si>
  <si>
    <t>Демонтаж щитков дорожных знаков  ( Вид 2 )</t>
  </si>
  <si>
    <t>Восстановление щитков дорожных знаков  ( Вид 2 )</t>
  </si>
  <si>
    <t>Замена стоек дорожных знаков (оцинкованных с бетонированием стойки), толщина стенки 3,5 мм, высота 3500 мм  ( Вид 2 )</t>
  </si>
  <si>
    <t>Замена стоек дорожных знаков (оцинкованных без бетонирования),
толщина стенки 3,5 мм, высота 3500 мм  ( Вид 2 )</t>
  </si>
  <si>
    <t>Замена стоек дорожных знаков (оцинкованных с бетонированием стойки), толщина стенки 3,5 мм, высота 4000 мм  ( Вид 2 )</t>
  </si>
  <si>
    <t>Замена стоек дорожных знаков (оцинкованных без бетонирования), толщина стенки 3,5 мм, высота 4000 мм  ( Вид 2 )</t>
  </si>
  <si>
    <t>Замена стоек дорожных знаков (металлических с бетонированием стойки), толщина стенки 3,5 мм, высота 3500 мм  ( Вид 2 )</t>
  </si>
  <si>
    <t>Замена стоек дорожных знаков (металлических без бетонирования стойки), толщина стенки 3,5 мм, высота 3500 мм  ( Вид 2 )</t>
  </si>
  <si>
    <t>Замена стоек дорожных знаков (металлических с бетонированием стойки), толщина стенки 3,5 мм, высота 4000 мм  ( Вид 2 )</t>
  </si>
  <si>
    <t>Замена стоек дорожных знаков (металлических без бетонирования стойки), толщина стенки 3,5 мм, высота 4000 мм  ( Вид 2 )</t>
  </si>
  <si>
    <t>Демонтаж стоек дорожных знаков  ( Вид 2 )</t>
  </si>
  <si>
    <t>Восстановление проектного положения стоек дорожных знаков  ( Вид 2 )</t>
  </si>
  <si>
    <t>Замена готовых к установке сигнальных столбиков (пластиковых)  ( Вид 2 )</t>
  </si>
  <si>
    <t>Установка сигнальных столбиков (пластиковых)  ( Вид 2 )</t>
  </si>
  <si>
    <t>Восстановление проектного положения пластиковых сигнальных столбиков  ( Вид 2 )</t>
  </si>
  <si>
    <t>Очистка и мойка барьерного  ограждения от пыли и грязи водой из шланга  ( Вид 2 )</t>
  </si>
  <si>
    <t>Очистка и мойка барьерного  ограждения от пыли и грязи при помощи специализированного оборудования комбинированной дорожной машины  ( Вид 2 )</t>
  </si>
  <si>
    <t>Очистка пешеходного ограждения от пыли и грязи водой из шланга  ( Вид 2 )</t>
  </si>
  <si>
    <t>Очистка и мойка барьерного  ограждения от пыли и грязи при помощи специализированного оборудования комбинированной дорожной машины (мостовые сооружения)  ( Вид 2 )</t>
  </si>
  <si>
    <t>Очистка и мойка от пыли и грязи перильного ограждения лестничных сходов (мостовые сооружения)  ( Вид 2 )</t>
  </si>
  <si>
    <t>Исправление  металлического перильного ограждения лестничных сходов   ( Вид 2 )</t>
  </si>
  <si>
    <t>Окраска элементов обустройства металлического перильного ограждения лестничных сходов   ( Вид 2 )</t>
  </si>
  <si>
    <t>Сухая очистка поверхности барьерного ограждения щеткой, ветошью или веником  ( Вид 2 )</t>
  </si>
  <si>
    <t>Сухая очистка поверхности пешеходного ограждения щеткой, ветошью или веником  ( Вид 2 )</t>
  </si>
  <si>
    <t>Очистка и мойка световозвращающих устройств от пыли и грязи  ( Вид 2 )</t>
  </si>
  <si>
    <t>Уборка наносного грунта за барьерным ограждением вручную вдоль шумозащитных экранов  ( Вид 2 )</t>
  </si>
  <si>
    <t>Уборка наносного грунта у бортовых камней вручную  ( Вид 2 )</t>
  </si>
  <si>
    <t>Уборка наносного грунта из-под пешеходного ограждения  ( Вид 2 )</t>
  </si>
  <si>
    <t>Уборка наносного грунта из-под металлического барьерного ограждения вручную вдоль края проезжей части  ( Вид 2 )</t>
  </si>
  <si>
    <t>Уборка наносного грунта из-под металлического барьерного ограждения вручную  ( Вид 2 )</t>
  </si>
  <si>
    <t>Уборка наносного грунта у парапетного железобетонного барьерного ограждения вручную вдоль края проезжей части  ( Вид 2 )</t>
  </si>
  <si>
    <t>Уборка наносного грунта у парапетного железобетонного барьерного ограждения вручную   ( Вид 2 )</t>
  </si>
  <si>
    <t>Окрашивание тыльной стороны металлического барьерного ограждения  ( Вид 2 )</t>
  </si>
  <si>
    <t>Окрашивание металлического барьерного ограждения   ( Вид 2 )</t>
  </si>
  <si>
    <t>Окраска элементов обустройства (металлического барьерного ограждения композицией антикоррозийной цинконаполненной)  ( Вид 2 )</t>
  </si>
  <si>
    <t>Окраска элементов обустройства металлического барьерного ограждения (мостовые сооружения)  ( Вид 2 )</t>
  </si>
  <si>
    <t>Окраска элементов обустройства металлического перильного ограждения пистолетом- распылителем   ( Вид 2 )</t>
  </si>
  <si>
    <t>Окраска элементов обустройства металлического перильного ограждения кистью   ( Вид 2 )</t>
  </si>
  <si>
    <t>Окрашивание бетонных поверхностей пистолетом-распылителем  ( Вид 2 )</t>
  </si>
  <si>
    <t>Окрашивание металлических поверхностей пистолетом-распылителем  ( Вид 2 )</t>
  </si>
  <si>
    <t>Нанесение вертикальной разметки 2.5, 2.6 на металлическое барьерное ограждение  ( Вид 2 )</t>
  </si>
  <si>
    <t>Нанесение вертикальной разметки 2.7 на бордюрный камень  ( Вид 2 )</t>
  </si>
  <si>
    <t>Исправление повреждений металлических перил и ограждений   ( Вид 2 )</t>
  </si>
  <si>
    <t>Восстановление металлических перил и ограждений  ( Вид 2 )</t>
  </si>
  <si>
    <t>Демонтаж металлических перил и ограждений  ( Вид 2 )</t>
  </si>
  <si>
    <t>Замена отдельных секций металлических перил и ограждений  ( Вид 2 )</t>
  </si>
  <si>
    <t>Замена компенсатора (1 консоль-амортизатор)  ( Вид 2 )</t>
  </si>
  <si>
    <t>Замена стоек металлического барьерного ограждения (замена 1 стойки)  ( Вид 2 )</t>
  </si>
  <si>
    <t>Замена отдельных секций металлического барьерного ограждения на металлических стойках   ( Вид 2 )</t>
  </si>
  <si>
    <t>Восстановление концевых элементов барьерного ограждения  ( Вид 2 )</t>
  </si>
  <si>
    <t>Восстановление металлического барьерного ограждения   ( Вид 2 )</t>
  </si>
  <si>
    <t>Выправка отдельных секций металлического барьерного ограждения  ( Вид 2 )</t>
  </si>
  <si>
    <t>Замена парапетного железобетонного барьерного ограждения  ( Вид 2 )</t>
  </si>
  <si>
    <t>Замена троса  тросовых ограждений  ( Вид 2 )</t>
  </si>
  <si>
    <t>Натяжение троса тросовых ограждений  ( Вид 2 )</t>
  </si>
  <si>
    <t>Наклеивание светоотражающей пленки на сигнальные столбики  ( Вид 2 )</t>
  </si>
  <si>
    <t>Наклеивание светоотражающей пленки на светоотражающих элементах барьерного ограждения  ( Вид 2 )</t>
  </si>
  <si>
    <t>Замена световозвращающих элементов на барьерном ограждении  ( Вид 2 )</t>
  </si>
  <si>
    <t>Установка оцинкованных стоек знаков индивидуального проектирования, толщина стенки 3,5 мм, высота 4000  ( Вид 2 )</t>
  </si>
  <si>
    <t>Установка металлических стоек знаков индивидуального проектирования, толщина стенки 3,5 мм, высота 4000  ( Вид 2 )</t>
  </si>
  <si>
    <t>Установка щитков знаков индивидуального проектирования  ( Вид 2 )</t>
  </si>
  <si>
    <t>№ п/п</t>
  </si>
  <si>
    <t>Наименование работ и затрат</t>
  </si>
  <si>
    <t>Ед. изм.</t>
  </si>
  <si>
    <t>№ 
ед. расценки</t>
  </si>
  <si>
    <t>Расчет начальной суммы цен единиц работ</t>
  </si>
  <si>
    <t>2026 год</t>
  </si>
  <si>
    <t>НДС-20%, (руб.)</t>
  </si>
  <si>
    <t>Стоимость единицы работы, в ценах 2025 г. (руб.) (справочно)</t>
  </si>
  <si>
    <t>ТЫС М2</t>
  </si>
  <si>
    <t>М2</t>
  </si>
  <si>
    <t>ТЫС М3</t>
  </si>
  <si>
    <t>М3</t>
  </si>
  <si>
    <t>КМ;^ТЫС М</t>
  </si>
  <si>
    <t>ГА</t>
  </si>
  <si>
    <t>М</t>
  </si>
  <si>
    <t>ШТ</t>
  </si>
  <si>
    <t>ч</t>
  </si>
  <si>
    <t>Т</t>
  </si>
  <si>
    <t>100 ШТ</t>
  </si>
  <si>
    <t>Ч</t>
  </si>
  <si>
    <r>
      <t>Начальная цена единицы работы в ценах 2025 г. с индексом  фактической (1,0083) и прогнозной (1,0245)</t>
    </r>
    <r>
      <rPr>
        <b/>
        <sz val="14"/>
        <color indexed="10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инфляции (руб.)</t>
    </r>
  </si>
  <si>
    <t>Начальная цена единицы работы в ценах 2025 г. с индексом фактической (1,0083) и прогнозной (1,0245) инфляции  с учётом НДС-20% (руб.)</t>
  </si>
  <si>
    <t>Начальная цена единицы работы в ценах 2026 г. с индексом фактической (1,0083) и прогнозной (1,0740) инфляции (руб.)</t>
  </si>
  <si>
    <t>Начальная цена единицы работы в ценах 2026 г. с индексом  фактической (1,0083) и прогнозной (1,0740) инфляции  с учётом НДС-20% (руб.)</t>
  </si>
  <si>
    <t>ПОГ М</t>
  </si>
  <si>
    <t>на выполнение работ по содержанию автомобильных дорог местного значения  и искусственных сооружений на них, расположенных на территории Николаевского муниципального района Хабаровского края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</si>
</sst>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name val="Times New Roman"/>
      <family val="1"/>
      <charset val="204"/>
    </font>
    <font>
      <sz val="14"/>
      <name val="Calibri"/>
      <family val="2"/>
    </font>
    <font>
      <sz val="14"/>
      <name val="Times New Roman"/>
      <family val="1"/>
      <charset val="204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0"/>
  <sheetViews>
    <sheetView tabSelected="1" view="pageBreakPreview" topLeftCell="A181" zoomScaleSheetLayoutView="90" workbookViewId="0">
      <selection activeCell="K184" sqref="K184"/>
    </sheetView>
  </sheetViews>
  <sheetFormatPr defaultRowHeight="27" customHeight="1" x14ac:dyDescent="0.25"/>
  <cols>
    <col min="1" max="1" width="8" style="1" customWidth="1"/>
    <col min="2" max="2" width="8.28515625" style="1" customWidth="1"/>
    <col min="3" max="3" width="79.5703125" style="1" customWidth="1"/>
    <col min="4" max="4" width="13.7109375" style="1" customWidth="1"/>
    <col min="5" max="5" width="16.5703125" style="2" customWidth="1"/>
    <col min="6" max="6" width="16.7109375" style="1" customWidth="1"/>
    <col min="7" max="7" width="18.7109375" style="1" customWidth="1"/>
    <col min="8" max="8" width="16.42578125" style="1" customWidth="1"/>
    <col min="9" max="9" width="16.7109375" style="1" customWidth="1"/>
    <col min="10" max="10" width="16.85546875" style="1" customWidth="1"/>
    <col min="11" max="11" width="16.140625" style="1" customWidth="1"/>
    <col min="12" max="16384" width="9.140625" style="1"/>
  </cols>
  <sheetData>
    <row r="1" spans="1:11" ht="23.25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3.2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3.2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23.2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23.2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15.75" x14ac:dyDescent="0.25"/>
    <row r="7" spans="1:11" ht="18.75" customHeight="1" x14ac:dyDescent="0.25">
      <c r="A7" s="16" t="s">
        <v>489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ht="55.5" customHeight="1" x14ac:dyDescent="0.25">
      <c r="A8" s="19" t="s">
        <v>510</v>
      </c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ht="24.75" customHeight="1" x14ac:dyDescent="0.25">
      <c r="A9" s="20" t="s">
        <v>485</v>
      </c>
      <c r="B9" s="20" t="s">
        <v>488</v>
      </c>
      <c r="C9" s="20" t="s">
        <v>486</v>
      </c>
      <c r="D9" s="20" t="s">
        <v>487</v>
      </c>
      <c r="E9" s="20" t="s">
        <v>492</v>
      </c>
      <c r="F9" s="22" t="s">
        <v>505</v>
      </c>
      <c r="G9" s="22" t="s">
        <v>491</v>
      </c>
      <c r="H9" s="22" t="s">
        <v>506</v>
      </c>
      <c r="I9" s="22" t="s">
        <v>507</v>
      </c>
      <c r="J9" s="22" t="s">
        <v>491</v>
      </c>
      <c r="K9" s="22" t="s">
        <v>508</v>
      </c>
    </row>
    <row r="10" spans="1:11" ht="268.5" customHeight="1" x14ac:dyDescent="0.25">
      <c r="A10" s="20"/>
      <c r="B10" s="20"/>
      <c r="C10" s="20"/>
      <c r="D10" s="20"/>
      <c r="E10" s="20"/>
      <c r="F10" s="23"/>
      <c r="G10" s="23"/>
      <c r="H10" s="23"/>
      <c r="I10" s="23"/>
      <c r="J10" s="23"/>
      <c r="K10" s="23"/>
    </row>
    <row r="11" spans="1:11" ht="18.75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</row>
    <row r="12" spans="1:11" ht="18.75" customHeight="1" x14ac:dyDescent="0.25">
      <c r="A12" s="24" t="s">
        <v>490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ht="18.75" x14ac:dyDescent="0.25">
      <c r="A13" s="6">
        <f>B13</f>
        <v>1</v>
      </c>
      <c r="B13" s="6">
        <v>1</v>
      </c>
      <c r="C13" s="10" t="s">
        <v>282</v>
      </c>
      <c r="D13" s="11" t="s">
        <v>493</v>
      </c>
      <c r="E13" s="7">
        <v>200665.03</v>
      </c>
      <c r="F13" s="7"/>
      <c r="G13" s="7"/>
      <c r="H13" s="8"/>
      <c r="I13" s="7">
        <f>E13*1.0083*1.074</f>
        <v>217303.01</v>
      </c>
      <c r="J13" s="7">
        <f>I13*0.2</f>
        <v>43460.6</v>
      </c>
      <c r="K13" s="8">
        <f>I13+J13</f>
        <v>260763.61</v>
      </c>
    </row>
    <row r="14" spans="1:11" ht="18.75" x14ac:dyDescent="0.25">
      <c r="A14" s="6">
        <v>2</v>
      </c>
      <c r="B14" s="6">
        <f>B13+1</f>
        <v>2</v>
      </c>
      <c r="C14" s="10" t="s">
        <v>283</v>
      </c>
      <c r="D14" s="11" t="s">
        <v>494</v>
      </c>
      <c r="E14" s="7">
        <v>241.11</v>
      </c>
      <c r="F14" s="7"/>
      <c r="G14" s="7"/>
      <c r="H14" s="8"/>
      <c r="I14" s="7">
        <f t="shared" ref="I14:I77" si="0">E14*1.0083*1.074</f>
        <v>261.10000000000002</v>
      </c>
      <c r="J14" s="7">
        <f t="shared" ref="J14:J78" si="1">I14*0.2</f>
        <v>52.22</v>
      </c>
      <c r="K14" s="8">
        <f t="shared" ref="K14:K78" si="2">I14+J14</f>
        <v>313.32</v>
      </c>
    </row>
    <row r="15" spans="1:11" ht="31.5" x14ac:dyDescent="0.25">
      <c r="A15" s="6">
        <f t="shared" ref="A15:B30" si="3">A14+1</f>
        <v>3</v>
      </c>
      <c r="B15" s="6">
        <f t="shared" si="3"/>
        <v>3</v>
      </c>
      <c r="C15" s="10" t="s">
        <v>284</v>
      </c>
      <c r="D15" s="11" t="s">
        <v>494</v>
      </c>
      <c r="E15" s="7">
        <v>22.55</v>
      </c>
      <c r="F15" s="7"/>
      <c r="G15" s="7"/>
      <c r="H15" s="8"/>
      <c r="I15" s="7">
        <f t="shared" si="0"/>
        <v>24.42</v>
      </c>
      <c r="J15" s="7">
        <f t="shared" si="1"/>
        <v>4.88</v>
      </c>
      <c r="K15" s="8">
        <f t="shared" si="2"/>
        <v>29.3</v>
      </c>
    </row>
    <row r="16" spans="1:11" ht="18.75" x14ac:dyDescent="0.25">
      <c r="A16" s="6">
        <f t="shared" si="3"/>
        <v>4</v>
      </c>
      <c r="B16" s="6">
        <f>B15+1</f>
        <v>4</v>
      </c>
      <c r="C16" s="10" t="s">
        <v>285</v>
      </c>
      <c r="D16" s="11" t="s">
        <v>494</v>
      </c>
      <c r="E16" s="7">
        <v>337.9</v>
      </c>
      <c r="F16" s="7"/>
      <c r="G16" s="7"/>
      <c r="H16" s="8"/>
      <c r="I16" s="7">
        <f t="shared" si="0"/>
        <v>365.92</v>
      </c>
      <c r="J16" s="7">
        <f t="shared" si="1"/>
        <v>73.180000000000007</v>
      </c>
      <c r="K16" s="8">
        <f t="shared" si="2"/>
        <v>439.1</v>
      </c>
    </row>
    <row r="17" spans="1:11" ht="31.5" x14ac:dyDescent="0.25">
      <c r="A17" s="6">
        <f t="shared" si="3"/>
        <v>5</v>
      </c>
      <c r="B17" s="6">
        <f t="shared" si="3"/>
        <v>5</v>
      </c>
      <c r="C17" s="10" t="s">
        <v>286</v>
      </c>
      <c r="D17" s="11" t="s">
        <v>494</v>
      </c>
      <c r="E17" s="7">
        <v>30.82</v>
      </c>
      <c r="F17" s="7"/>
      <c r="G17" s="7"/>
      <c r="H17" s="8"/>
      <c r="I17" s="7">
        <f t="shared" si="0"/>
        <v>33.380000000000003</v>
      </c>
      <c r="J17" s="7">
        <f t="shared" si="1"/>
        <v>6.68</v>
      </c>
      <c r="K17" s="8">
        <f t="shared" si="2"/>
        <v>40.06</v>
      </c>
    </row>
    <row r="18" spans="1:11" ht="18.75" x14ac:dyDescent="0.25">
      <c r="A18" s="6">
        <f t="shared" si="3"/>
        <v>6</v>
      </c>
      <c r="B18" s="6">
        <f t="shared" si="3"/>
        <v>6</v>
      </c>
      <c r="C18" s="10" t="s">
        <v>287</v>
      </c>
      <c r="D18" s="11" t="s">
        <v>493</v>
      </c>
      <c r="E18" s="7">
        <v>9307.84</v>
      </c>
      <c r="F18" s="7"/>
      <c r="G18" s="7"/>
      <c r="H18" s="8"/>
      <c r="I18" s="7">
        <f t="shared" si="0"/>
        <v>10079.59</v>
      </c>
      <c r="J18" s="7">
        <f t="shared" si="1"/>
        <v>2015.92</v>
      </c>
      <c r="K18" s="8">
        <f t="shared" si="2"/>
        <v>12095.51</v>
      </c>
    </row>
    <row r="19" spans="1:11" ht="18.75" x14ac:dyDescent="0.25">
      <c r="A19" s="6">
        <f t="shared" si="3"/>
        <v>7</v>
      </c>
      <c r="B19" s="6">
        <f t="shared" si="3"/>
        <v>7</v>
      </c>
      <c r="C19" s="10" t="s">
        <v>288</v>
      </c>
      <c r="D19" s="11" t="s">
        <v>493</v>
      </c>
      <c r="E19" s="7">
        <v>8437.9</v>
      </c>
      <c r="F19" s="7"/>
      <c r="G19" s="7"/>
      <c r="H19" s="8"/>
      <c r="I19" s="7">
        <f t="shared" si="0"/>
        <v>9137.52</v>
      </c>
      <c r="J19" s="7">
        <f t="shared" si="1"/>
        <v>1827.5</v>
      </c>
      <c r="K19" s="8">
        <f t="shared" si="2"/>
        <v>10965.02</v>
      </c>
    </row>
    <row r="20" spans="1:11" ht="18.75" x14ac:dyDescent="0.25">
      <c r="A20" s="6">
        <f t="shared" si="3"/>
        <v>8</v>
      </c>
      <c r="B20" s="6">
        <f t="shared" si="3"/>
        <v>8</v>
      </c>
      <c r="C20" s="10" t="s">
        <v>289</v>
      </c>
      <c r="D20" s="11" t="s">
        <v>495</v>
      </c>
      <c r="E20" s="7">
        <v>59368.91</v>
      </c>
      <c r="F20" s="7"/>
      <c r="G20" s="7"/>
      <c r="H20" s="8"/>
      <c r="I20" s="7">
        <f t="shared" si="0"/>
        <v>64291.44</v>
      </c>
      <c r="J20" s="7">
        <f t="shared" si="1"/>
        <v>12858.29</v>
      </c>
      <c r="K20" s="8">
        <f t="shared" si="2"/>
        <v>77149.73</v>
      </c>
    </row>
    <row r="21" spans="1:11" ht="18.75" x14ac:dyDescent="0.25">
      <c r="A21" s="6">
        <f t="shared" si="3"/>
        <v>9</v>
      </c>
      <c r="B21" s="6">
        <f t="shared" si="3"/>
        <v>9</v>
      </c>
      <c r="C21" s="10" t="s">
        <v>290</v>
      </c>
      <c r="D21" s="11" t="s">
        <v>496</v>
      </c>
      <c r="E21" s="7">
        <v>178.17</v>
      </c>
      <c r="F21" s="7"/>
      <c r="G21" s="7"/>
      <c r="H21" s="8"/>
      <c r="I21" s="7">
        <f t="shared" si="0"/>
        <v>192.94</v>
      </c>
      <c r="J21" s="7">
        <f t="shared" si="1"/>
        <v>38.590000000000003</v>
      </c>
      <c r="K21" s="8">
        <f t="shared" si="2"/>
        <v>231.53</v>
      </c>
    </row>
    <row r="22" spans="1:11" ht="31.5" x14ac:dyDescent="0.25">
      <c r="A22" s="6">
        <f t="shared" si="3"/>
        <v>10</v>
      </c>
      <c r="B22" s="6">
        <f t="shared" si="3"/>
        <v>10</v>
      </c>
      <c r="C22" s="10" t="s">
        <v>291</v>
      </c>
      <c r="D22" s="11" t="s">
        <v>497</v>
      </c>
      <c r="E22" s="7">
        <v>1603.76</v>
      </c>
      <c r="F22" s="7"/>
      <c r="G22" s="7"/>
      <c r="H22" s="8"/>
      <c r="I22" s="7">
        <f t="shared" si="0"/>
        <v>1736.73</v>
      </c>
      <c r="J22" s="7">
        <f t="shared" si="1"/>
        <v>347.35</v>
      </c>
      <c r="K22" s="8">
        <f t="shared" si="2"/>
        <v>2084.08</v>
      </c>
    </row>
    <row r="23" spans="1:11" ht="31.5" x14ac:dyDescent="0.25">
      <c r="A23" s="6">
        <f t="shared" si="3"/>
        <v>11</v>
      </c>
      <c r="B23" s="6">
        <f t="shared" si="3"/>
        <v>11</v>
      </c>
      <c r="C23" s="10" t="s">
        <v>292</v>
      </c>
      <c r="D23" s="11" t="s">
        <v>493</v>
      </c>
      <c r="E23" s="7">
        <v>53110.8</v>
      </c>
      <c r="F23" s="7"/>
      <c r="G23" s="7"/>
      <c r="H23" s="8"/>
      <c r="I23" s="7">
        <f t="shared" si="0"/>
        <v>57514.44</v>
      </c>
      <c r="J23" s="7">
        <f t="shared" si="1"/>
        <v>11502.89</v>
      </c>
      <c r="K23" s="8">
        <f t="shared" si="2"/>
        <v>69017.33</v>
      </c>
    </row>
    <row r="24" spans="1:11" ht="18.75" x14ac:dyDescent="0.25">
      <c r="A24" s="6">
        <f t="shared" si="3"/>
        <v>12</v>
      </c>
      <c r="B24" s="6">
        <f t="shared" si="3"/>
        <v>12</v>
      </c>
      <c r="C24" s="10" t="s">
        <v>293</v>
      </c>
      <c r="D24" s="11" t="s">
        <v>493</v>
      </c>
      <c r="E24" s="7">
        <v>34337.57</v>
      </c>
      <c r="F24" s="7"/>
      <c r="G24" s="7"/>
      <c r="H24" s="8"/>
      <c r="I24" s="7">
        <f t="shared" si="0"/>
        <v>37184.639999999999</v>
      </c>
      <c r="J24" s="7">
        <f t="shared" si="1"/>
        <v>7436.93</v>
      </c>
      <c r="K24" s="8">
        <f t="shared" si="2"/>
        <v>44621.57</v>
      </c>
    </row>
    <row r="25" spans="1:11" ht="18.75" x14ac:dyDescent="0.25">
      <c r="A25" s="6">
        <f t="shared" si="3"/>
        <v>13</v>
      </c>
      <c r="B25" s="6">
        <f t="shared" si="3"/>
        <v>13</v>
      </c>
      <c r="C25" s="10" t="s">
        <v>294</v>
      </c>
      <c r="D25" s="11" t="s">
        <v>496</v>
      </c>
      <c r="E25" s="7">
        <v>3067.38</v>
      </c>
      <c r="F25" s="7"/>
      <c r="G25" s="7"/>
      <c r="H25" s="8"/>
      <c r="I25" s="7">
        <f t="shared" si="0"/>
        <v>3321.71</v>
      </c>
      <c r="J25" s="7">
        <f t="shared" si="1"/>
        <v>664.34</v>
      </c>
      <c r="K25" s="8">
        <f t="shared" si="2"/>
        <v>3986.05</v>
      </c>
    </row>
    <row r="26" spans="1:11" ht="31.5" x14ac:dyDescent="0.25">
      <c r="A26" s="6">
        <f t="shared" si="3"/>
        <v>14</v>
      </c>
      <c r="B26" s="6">
        <f t="shared" si="3"/>
        <v>14</v>
      </c>
      <c r="C26" s="13" t="s">
        <v>295</v>
      </c>
      <c r="D26" s="14" t="s">
        <v>496</v>
      </c>
      <c r="E26" s="7">
        <v>2297.69</v>
      </c>
      <c r="F26" s="7"/>
      <c r="G26" s="7"/>
      <c r="H26" s="8"/>
      <c r="I26" s="7">
        <f t="shared" si="0"/>
        <v>2488.1999999999998</v>
      </c>
      <c r="J26" s="7">
        <f t="shared" si="1"/>
        <v>497.64</v>
      </c>
      <c r="K26" s="8">
        <f t="shared" si="2"/>
        <v>2985.84</v>
      </c>
    </row>
    <row r="27" spans="1:11" ht="31.5" x14ac:dyDescent="0.25">
      <c r="A27" s="6">
        <f t="shared" si="3"/>
        <v>15</v>
      </c>
      <c r="B27" s="6">
        <f t="shared" si="3"/>
        <v>15</v>
      </c>
      <c r="C27" s="10" t="s">
        <v>296</v>
      </c>
      <c r="D27" s="11" t="s">
        <v>496</v>
      </c>
      <c r="E27" s="7">
        <v>3067.38</v>
      </c>
      <c r="F27" s="7"/>
      <c r="G27" s="7"/>
      <c r="H27" s="8"/>
      <c r="I27" s="7">
        <f t="shared" si="0"/>
        <v>3321.71</v>
      </c>
      <c r="J27" s="7">
        <f t="shared" si="1"/>
        <v>664.34</v>
      </c>
      <c r="K27" s="8">
        <f t="shared" si="2"/>
        <v>3986.05</v>
      </c>
    </row>
    <row r="28" spans="1:11" ht="31.5" x14ac:dyDescent="0.25">
      <c r="A28" s="6">
        <f t="shared" si="3"/>
        <v>16</v>
      </c>
      <c r="B28" s="6">
        <f>B27+1</f>
        <v>16</v>
      </c>
      <c r="C28" s="12" t="s">
        <v>297</v>
      </c>
      <c r="D28" s="11" t="s">
        <v>497</v>
      </c>
      <c r="E28" s="7">
        <v>369.41</v>
      </c>
      <c r="F28" s="7"/>
      <c r="G28" s="7"/>
      <c r="H28" s="8"/>
      <c r="I28" s="7">
        <f t="shared" si="0"/>
        <v>400.04</v>
      </c>
      <c r="J28" s="7">
        <f t="shared" si="1"/>
        <v>80.010000000000005</v>
      </c>
      <c r="K28" s="8">
        <f t="shared" si="2"/>
        <v>480.05</v>
      </c>
    </row>
    <row r="29" spans="1:11" ht="18.75" x14ac:dyDescent="0.25">
      <c r="A29" s="6">
        <f t="shared" si="3"/>
        <v>17</v>
      </c>
      <c r="B29" s="6">
        <f t="shared" si="3"/>
        <v>17</v>
      </c>
      <c r="C29" s="12" t="s">
        <v>298</v>
      </c>
      <c r="D29" s="11" t="s">
        <v>494</v>
      </c>
      <c r="E29" s="7">
        <v>2.15</v>
      </c>
      <c r="F29" s="7"/>
      <c r="G29" s="7"/>
      <c r="H29" s="8"/>
      <c r="I29" s="7">
        <f t="shared" si="0"/>
        <v>2.33</v>
      </c>
      <c r="J29" s="7">
        <f t="shared" si="1"/>
        <v>0.47</v>
      </c>
      <c r="K29" s="8">
        <f t="shared" si="2"/>
        <v>2.8</v>
      </c>
    </row>
    <row r="30" spans="1:11" ht="31.5" x14ac:dyDescent="0.25">
      <c r="A30" s="6">
        <f t="shared" si="3"/>
        <v>18</v>
      </c>
      <c r="B30" s="6">
        <f t="shared" si="3"/>
        <v>18</v>
      </c>
      <c r="C30" s="10" t="s">
        <v>299</v>
      </c>
      <c r="D30" s="11" t="s">
        <v>494</v>
      </c>
      <c r="E30" s="7">
        <v>3.23</v>
      </c>
      <c r="F30" s="7"/>
      <c r="G30" s="7"/>
      <c r="H30" s="8"/>
      <c r="I30" s="7">
        <f t="shared" si="0"/>
        <v>3.5</v>
      </c>
      <c r="J30" s="7">
        <f t="shared" si="1"/>
        <v>0.7</v>
      </c>
      <c r="K30" s="8">
        <f t="shared" si="2"/>
        <v>4.2</v>
      </c>
    </row>
    <row r="31" spans="1:11" ht="18.75" x14ac:dyDescent="0.25">
      <c r="A31" s="6">
        <f t="shared" ref="A31:B44" si="4">A30+1</f>
        <v>19</v>
      </c>
      <c r="B31" s="6">
        <f t="shared" si="4"/>
        <v>19</v>
      </c>
      <c r="C31" s="12" t="s">
        <v>300</v>
      </c>
      <c r="D31" s="11" t="s">
        <v>494</v>
      </c>
      <c r="E31" s="7">
        <v>2.15</v>
      </c>
      <c r="F31" s="7"/>
      <c r="G31" s="7"/>
      <c r="H31" s="8"/>
      <c r="I31" s="7">
        <f t="shared" si="0"/>
        <v>2.33</v>
      </c>
      <c r="J31" s="7">
        <f t="shared" si="1"/>
        <v>0.47</v>
      </c>
      <c r="K31" s="8">
        <f t="shared" si="2"/>
        <v>2.8</v>
      </c>
    </row>
    <row r="32" spans="1:11" ht="31.5" x14ac:dyDescent="0.25">
      <c r="A32" s="6">
        <f t="shared" si="4"/>
        <v>20</v>
      </c>
      <c r="B32" s="6">
        <f t="shared" si="4"/>
        <v>20</v>
      </c>
      <c r="C32" s="12" t="s">
        <v>301</v>
      </c>
      <c r="D32" s="11" t="s">
        <v>498</v>
      </c>
      <c r="E32" s="7">
        <v>29286.71</v>
      </c>
      <c r="F32" s="7"/>
      <c r="G32" s="7"/>
      <c r="H32" s="8"/>
      <c r="I32" s="7">
        <f t="shared" si="0"/>
        <v>31714.99</v>
      </c>
      <c r="J32" s="7">
        <f t="shared" si="1"/>
        <v>6343</v>
      </c>
      <c r="K32" s="8">
        <f t="shared" si="2"/>
        <v>38057.99</v>
      </c>
    </row>
    <row r="33" spans="1:11" ht="18.75" x14ac:dyDescent="0.25">
      <c r="A33" s="6">
        <f t="shared" si="4"/>
        <v>21</v>
      </c>
      <c r="B33" s="6">
        <f t="shared" si="4"/>
        <v>21</v>
      </c>
      <c r="C33" s="10" t="s">
        <v>302</v>
      </c>
      <c r="D33" s="11" t="s">
        <v>494</v>
      </c>
      <c r="E33" s="7">
        <v>0.92</v>
      </c>
      <c r="F33" s="7"/>
      <c r="G33" s="7"/>
      <c r="H33" s="8"/>
      <c r="I33" s="7">
        <f t="shared" si="0"/>
        <v>1</v>
      </c>
      <c r="J33" s="7">
        <f t="shared" si="1"/>
        <v>0.2</v>
      </c>
      <c r="K33" s="8">
        <f t="shared" si="2"/>
        <v>1.2</v>
      </c>
    </row>
    <row r="34" spans="1:11" ht="18.75" x14ac:dyDescent="0.25">
      <c r="A34" s="6">
        <f t="shared" si="4"/>
        <v>22</v>
      </c>
      <c r="B34" s="6">
        <f t="shared" si="4"/>
        <v>22</v>
      </c>
      <c r="C34" s="10" t="s">
        <v>303</v>
      </c>
      <c r="D34" s="11" t="s">
        <v>499</v>
      </c>
      <c r="E34" s="7">
        <v>1457.75</v>
      </c>
      <c r="F34" s="7"/>
      <c r="G34" s="7"/>
      <c r="H34" s="8"/>
      <c r="I34" s="7">
        <f t="shared" si="0"/>
        <v>1578.62</v>
      </c>
      <c r="J34" s="7">
        <f t="shared" si="1"/>
        <v>315.72000000000003</v>
      </c>
      <c r="K34" s="8">
        <f t="shared" si="2"/>
        <v>1894.34</v>
      </c>
    </row>
    <row r="35" spans="1:11" ht="31.5" x14ac:dyDescent="0.25">
      <c r="A35" s="6">
        <f t="shared" si="4"/>
        <v>23</v>
      </c>
      <c r="B35" s="6">
        <f t="shared" si="4"/>
        <v>23</v>
      </c>
      <c r="C35" s="12" t="s">
        <v>304</v>
      </c>
      <c r="D35" s="11" t="s">
        <v>497</v>
      </c>
      <c r="E35" s="7">
        <v>1143.69</v>
      </c>
      <c r="F35" s="7"/>
      <c r="G35" s="7"/>
      <c r="H35" s="8"/>
      <c r="I35" s="7">
        <f t="shared" si="0"/>
        <v>1238.52</v>
      </c>
      <c r="J35" s="7">
        <f t="shared" si="1"/>
        <v>247.7</v>
      </c>
      <c r="K35" s="8">
        <f t="shared" si="2"/>
        <v>1486.22</v>
      </c>
    </row>
    <row r="36" spans="1:11" ht="31.5" x14ac:dyDescent="0.25">
      <c r="A36" s="6">
        <f t="shared" si="4"/>
        <v>24</v>
      </c>
      <c r="B36" s="6">
        <f t="shared" si="4"/>
        <v>24</v>
      </c>
      <c r="C36" s="10" t="s">
        <v>305</v>
      </c>
      <c r="D36" s="11" t="s">
        <v>499</v>
      </c>
      <c r="E36" s="7">
        <v>55.45</v>
      </c>
      <c r="F36" s="7"/>
      <c r="G36" s="7"/>
      <c r="H36" s="8"/>
      <c r="I36" s="7">
        <f t="shared" si="0"/>
        <v>60.05</v>
      </c>
      <c r="J36" s="7">
        <f t="shared" si="1"/>
        <v>12.01</v>
      </c>
      <c r="K36" s="8">
        <f t="shared" si="2"/>
        <v>72.06</v>
      </c>
    </row>
    <row r="37" spans="1:11" ht="31.5" x14ac:dyDescent="0.25">
      <c r="A37" s="6">
        <f t="shared" si="4"/>
        <v>25</v>
      </c>
      <c r="B37" s="6">
        <f>B36+1</f>
        <v>25</v>
      </c>
      <c r="C37" s="10" t="s">
        <v>306</v>
      </c>
      <c r="D37" s="11" t="s">
        <v>497</v>
      </c>
      <c r="E37" s="7">
        <v>1722.56</v>
      </c>
      <c r="F37" s="7"/>
      <c r="G37" s="7"/>
      <c r="H37" s="8"/>
      <c r="I37" s="7">
        <f t="shared" si="0"/>
        <v>1865.38</v>
      </c>
      <c r="J37" s="7">
        <f t="shared" si="1"/>
        <v>373.08</v>
      </c>
      <c r="K37" s="8">
        <f t="shared" si="2"/>
        <v>2238.46</v>
      </c>
    </row>
    <row r="38" spans="1:11" ht="31.5" x14ac:dyDescent="0.25">
      <c r="A38" s="6">
        <f>A37+1</f>
        <v>26</v>
      </c>
      <c r="B38" s="6">
        <v>26</v>
      </c>
      <c r="C38" s="10" t="s">
        <v>307</v>
      </c>
      <c r="D38" s="11" t="s">
        <v>497</v>
      </c>
      <c r="E38" s="7">
        <v>118219.36</v>
      </c>
      <c r="F38" s="7"/>
      <c r="G38" s="7"/>
      <c r="H38" s="8"/>
      <c r="I38" s="7">
        <f t="shared" si="0"/>
        <v>128021.42</v>
      </c>
      <c r="J38" s="7">
        <f t="shared" si="1"/>
        <v>25604.28</v>
      </c>
      <c r="K38" s="8">
        <f t="shared" si="2"/>
        <v>153625.70000000001</v>
      </c>
    </row>
    <row r="39" spans="1:11" ht="31.5" x14ac:dyDescent="0.25">
      <c r="A39" s="6">
        <f>A38+1</f>
        <v>27</v>
      </c>
      <c r="B39" s="6">
        <v>27</v>
      </c>
      <c r="C39" s="10" t="s">
        <v>308</v>
      </c>
      <c r="D39" s="11" t="s">
        <v>496</v>
      </c>
      <c r="E39" s="7">
        <v>5950.84</v>
      </c>
      <c r="F39" s="7"/>
      <c r="G39" s="7"/>
      <c r="H39" s="8"/>
      <c r="I39" s="7">
        <f t="shared" si="0"/>
        <v>6444.25</v>
      </c>
      <c r="J39" s="7">
        <f t="shared" si="1"/>
        <v>1288.8499999999999</v>
      </c>
      <c r="K39" s="8">
        <f t="shared" si="2"/>
        <v>7733.1</v>
      </c>
    </row>
    <row r="40" spans="1:11" ht="31.5" x14ac:dyDescent="0.25">
      <c r="A40" s="6">
        <f>A39+1</f>
        <v>28</v>
      </c>
      <c r="B40" s="6">
        <f t="shared" si="4"/>
        <v>28</v>
      </c>
      <c r="C40" s="12" t="s">
        <v>309</v>
      </c>
      <c r="D40" s="11" t="s">
        <v>499</v>
      </c>
      <c r="E40" s="7">
        <v>55.68</v>
      </c>
      <c r="F40" s="7"/>
      <c r="G40" s="7"/>
      <c r="H40" s="8"/>
      <c r="I40" s="7">
        <f t="shared" si="0"/>
        <v>60.3</v>
      </c>
      <c r="J40" s="7">
        <f t="shared" si="1"/>
        <v>12.06</v>
      </c>
      <c r="K40" s="8">
        <f t="shared" si="2"/>
        <v>72.36</v>
      </c>
    </row>
    <row r="41" spans="1:11" ht="31.5" x14ac:dyDescent="0.25">
      <c r="A41" s="6">
        <f t="shared" ref="A41:B46" si="5">A40+1</f>
        <v>29</v>
      </c>
      <c r="B41" s="6">
        <f t="shared" si="4"/>
        <v>29</v>
      </c>
      <c r="C41" s="12" t="s">
        <v>310</v>
      </c>
      <c r="D41" s="11" t="s">
        <v>499</v>
      </c>
      <c r="E41" s="7">
        <v>55.68</v>
      </c>
      <c r="F41" s="7"/>
      <c r="G41" s="7"/>
      <c r="H41" s="8"/>
      <c r="I41" s="7">
        <f t="shared" si="0"/>
        <v>60.3</v>
      </c>
      <c r="J41" s="7">
        <f t="shared" si="1"/>
        <v>12.06</v>
      </c>
      <c r="K41" s="8">
        <f t="shared" si="2"/>
        <v>72.36</v>
      </c>
    </row>
    <row r="42" spans="1:11" ht="31.5" x14ac:dyDescent="0.25">
      <c r="A42" s="6">
        <f t="shared" si="5"/>
        <v>30</v>
      </c>
      <c r="B42" s="6">
        <f t="shared" si="4"/>
        <v>30</v>
      </c>
      <c r="C42" s="12" t="s">
        <v>311</v>
      </c>
      <c r="D42" s="11" t="s">
        <v>499</v>
      </c>
      <c r="E42" s="7">
        <v>55.68</v>
      </c>
      <c r="F42" s="7"/>
      <c r="G42" s="7"/>
      <c r="H42" s="8"/>
      <c r="I42" s="7">
        <f t="shared" si="0"/>
        <v>60.3</v>
      </c>
      <c r="J42" s="7">
        <f t="shared" si="1"/>
        <v>12.06</v>
      </c>
      <c r="K42" s="8">
        <f t="shared" si="2"/>
        <v>72.36</v>
      </c>
    </row>
    <row r="43" spans="1:11" ht="31.5" x14ac:dyDescent="0.25">
      <c r="A43" s="6">
        <f t="shared" si="5"/>
        <v>31</v>
      </c>
      <c r="B43" s="6">
        <f>B42+1</f>
        <v>31</v>
      </c>
      <c r="C43" s="12" t="s">
        <v>312</v>
      </c>
      <c r="D43" s="11" t="s">
        <v>499</v>
      </c>
      <c r="E43" s="7">
        <v>159.80000000000001</v>
      </c>
      <c r="F43" s="7"/>
      <c r="G43" s="7"/>
      <c r="H43" s="8"/>
      <c r="I43" s="7">
        <f t="shared" si="0"/>
        <v>173.05</v>
      </c>
      <c r="J43" s="7">
        <f t="shared" si="1"/>
        <v>34.61</v>
      </c>
      <c r="K43" s="8">
        <f t="shared" si="2"/>
        <v>207.66</v>
      </c>
    </row>
    <row r="44" spans="1:11" ht="31.5" x14ac:dyDescent="0.25">
      <c r="A44" s="6">
        <f t="shared" si="5"/>
        <v>32</v>
      </c>
      <c r="B44" s="6">
        <f t="shared" si="4"/>
        <v>32</v>
      </c>
      <c r="C44" s="12" t="s">
        <v>313</v>
      </c>
      <c r="D44" s="11" t="s">
        <v>499</v>
      </c>
      <c r="E44" s="7">
        <v>55.68</v>
      </c>
      <c r="F44" s="7"/>
      <c r="G44" s="7"/>
      <c r="H44" s="8"/>
      <c r="I44" s="7">
        <f t="shared" si="0"/>
        <v>60.3</v>
      </c>
      <c r="J44" s="7">
        <f t="shared" si="1"/>
        <v>12.06</v>
      </c>
      <c r="K44" s="8">
        <f t="shared" si="2"/>
        <v>72.36</v>
      </c>
    </row>
    <row r="45" spans="1:11" ht="31.5" x14ac:dyDescent="0.25">
      <c r="A45" s="6">
        <f>A44+1</f>
        <v>33</v>
      </c>
      <c r="B45" s="6">
        <f>B44+1</f>
        <v>33</v>
      </c>
      <c r="C45" s="12" t="s">
        <v>314</v>
      </c>
      <c r="D45" s="11" t="s">
        <v>499</v>
      </c>
      <c r="E45" s="7">
        <v>104.12</v>
      </c>
      <c r="F45" s="7"/>
      <c r="G45" s="7"/>
      <c r="H45" s="8"/>
      <c r="I45" s="7">
        <f t="shared" si="0"/>
        <v>112.75</v>
      </c>
      <c r="J45" s="7">
        <f t="shared" si="1"/>
        <v>22.55</v>
      </c>
      <c r="K45" s="8">
        <f t="shared" si="2"/>
        <v>135.30000000000001</v>
      </c>
    </row>
    <row r="46" spans="1:11" ht="31.5" x14ac:dyDescent="0.25">
      <c r="A46" s="6">
        <f t="shared" si="5"/>
        <v>34</v>
      </c>
      <c r="B46" s="6">
        <f t="shared" si="5"/>
        <v>34</v>
      </c>
      <c r="C46" s="12" t="s">
        <v>315</v>
      </c>
      <c r="D46" s="11" t="s">
        <v>499</v>
      </c>
      <c r="E46" s="7">
        <v>19662.73</v>
      </c>
      <c r="F46" s="7"/>
      <c r="G46" s="7"/>
      <c r="H46" s="8"/>
      <c r="I46" s="7">
        <f t="shared" si="0"/>
        <v>21293.05</v>
      </c>
      <c r="J46" s="7">
        <f t="shared" si="1"/>
        <v>4258.6099999999997</v>
      </c>
      <c r="K46" s="8">
        <f t="shared" si="2"/>
        <v>25551.66</v>
      </c>
    </row>
    <row r="47" spans="1:11" ht="31.5" x14ac:dyDescent="0.25">
      <c r="A47" s="6">
        <f t="shared" ref="A47:B49" si="6">A46+1</f>
        <v>35</v>
      </c>
      <c r="B47" s="6">
        <f t="shared" si="6"/>
        <v>35</v>
      </c>
      <c r="C47" s="12" t="s">
        <v>316</v>
      </c>
      <c r="D47" s="11" t="s">
        <v>499</v>
      </c>
      <c r="E47" s="7">
        <v>16371.86</v>
      </c>
      <c r="F47" s="7"/>
      <c r="G47" s="7"/>
      <c r="H47" s="8"/>
      <c r="I47" s="7">
        <f t="shared" si="0"/>
        <v>17729.32</v>
      </c>
      <c r="J47" s="7">
        <f t="shared" si="1"/>
        <v>3545.86</v>
      </c>
      <c r="K47" s="8">
        <f t="shared" si="2"/>
        <v>21275.18</v>
      </c>
    </row>
    <row r="48" spans="1:11" ht="18.75" x14ac:dyDescent="0.25">
      <c r="A48" s="6">
        <f t="shared" si="6"/>
        <v>36</v>
      </c>
      <c r="B48" s="6">
        <f t="shared" si="6"/>
        <v>36</v>
      </c>
      <c r="C48" s="12" t="s">
        <v>317</v>
      </c>
      <c r="D48" s="11" t="s">
        <v>499</v>
      </c>
      <c r="E48" s="7">
        <v>2063.2399999999998</v>
      </c>
      <c r="F48" s="7"/>
      <c r="G48" s="7"/>
      <c r="H48" s="8"/>
      <c r="I48" s="7">
        <f t="shared" si="0"/>
        <v>2234.31</v>
      </c>
      <c r="J48" s="7">
        <f t="shared" si="1"/>
        <v>446.86</v>
      </c>
      <c r="K48" s="8">
        <f t="shared" si="2"/>
        <v>2681.17</v>
      </c>
    </row>
    <row r="49" spans="1:11" ht="18.75" x14ac:dyDescent="0.25">
      <c r="A49" s="6">
        <f t="shared" si="6"/>
        <v>37</v>
      </c>
      <c r="B49" s="6">
        <f t="shared" si="6"/>
        <v>37</v>
      </c>
      <c r="C49" s="12" t="s">
        <v>318</v>
      </c>
      <c r="D49" s="11" t="s">
        <v>499</v>
      </c>
      <c r="E49" s="7">
        <v>18435.099999999999</v>
      </c>
      <c r="F49" s="7"/>
      <c r="G49" s="7"/>
      <c r="H49" s="8"/>
      <c r="I49" s="7">
        <f t="shared" si="0"/>
        <v>19963.63</v>
      </c>
      <c r="J49" s="7">
        <f t="shared" si="1"/>
        <v>3992.73</v>
      </c>
      <c r="K49" s="8">
        <f t="shared" si="2"/>
        <v>23956.36</v>
      </c>
    </row>
    <row r="50" spans="1:11" ht="31.5" x14ac:dyDescent="0.25">
      <c r="A50" s="6">
        <f t="shared" ref="A50:B64" si="7">A49+1</f>
        <v>38</v>
      </c>
      <c r="B50" s="6">
        <f t="shared" ref="B50:B61" si="8">B49+1</f>
        <v>38</v>
      </c>
      <c r="C50" s="12" t="s">
        <v>319</v>
      </c>
      <c r="D50" s="11" t="s">
        <v>500</v>
      </c>
      <c r="E50" s="7">
        <v>3979.71</v>
      </c>
      <c r="F50" s="7"/>
      <c r="G50" s="7"/>
      <c r="H50" s="8"/>
      <c r="I50" s="7">
        <f t="shared" si="0"/>
        <v>4309.68</v>
      </c>
      <c r="J50" s="7">
        <f t="shared" si="1"/>
        <v>861.94</v>
      </c>
      <c r="K50" s="8">
        <f t="shared" si="2"/>
        <v>5171.62</v>
      </c>
    </row>
    <row r="51" spans="1:11" ht="18.75" x14ac:dyDescent="0.25">
      <c r="A51" s="6">
        <f t="shared" si="7"/>
        <v>39</v>
      </c>
      <c r="B51" s="6">
        <f t="shared" si="8"/>
        <v>39</v>
      </c>
      <c r="C51" s="10" t="s">
        <v>320</v>
      </c>
      <c r="D51" s="11" t="s">
        <v>500</v>
      </c>
      <c r="E51" s="7">
        <v>951.83</v>
      </c>
      <c r="F51" s="7"/>
      <c r="G51" s="7"/>
      <c r="H51" s="8"/>
      <c r="I51" s="7">
        <f t="shared" si="0"/>
        <v>1030.75</v>
      </c>
      <c r="J51" s="7">
        <f t="shared" si="1"/>
        <v>206.15</v>
      </c>
      <c r="K51" s="8">
        <f t="shared" si="2"/>
        <v>1236.9000000000001</v>
      </c>
    </row>
    <row r="52" spans="1:11" ht="18.75" x14ac:dyDescent="0.25">
      <c r="A52" s="6">
        <f t="shared" si="7"/>
        <v>40</v>
      </c>
      <c r="B52" s="6">
        <f t="shared" si="8"/>
        <v>40</v>
      </c>
      <c r="C52" s="12" t="s">
        <v>321</v>
      </c>
      <c r="D52" s="11" t="s">
        <v>494</v>
      </c>
      <c r="E52" s="7">
        <v>490.46</v>
      </c>
      <c r="F52" s="7"/>
      <c r="G52" s="7"/>
      <c r="H52" s="8"/>
      <c r="I52" s="7">
        <f t="shared" si="0"/>
        <v>531.13</v>
      </c>
      <c r="J52" s="7">
        <f t="shared" si="1"/>
        <v>106.23</v>
      </c>
      <c r="K52" s="8">
        <f t="shared" si="2"/>
        <v>637.36</v>
      </c>
    </row>
    <row r="53" spans="1:11" ht="18.75" x14ac:dyDescent="0.25">
      <c r="A53" s="6">
        <f t="shared" si="7"/>
        <v>41</v>
      </c>
      <c r="B53" s="6">
        <f t="shared" si="8"/>
        <v>41</v>
      </c>
      <c r="C53" s="10" t="s">
        <v>322</v>
      </c>
      <c r="D53" s="11" t="s">
        <v>496</v>
      </c>
      <c r="E53" s="7">
        <v>5950.84</v>
      </c>
      <c r="F53" s="7"/>
      <c r="G53" s="7"/>
      <c r="H53" s="8"/>
      <c r="I53" s="7">
        <f t="shared" si="0"/>
        <v>6444.25</v>
      </c>
      <c r="J53" s="7">
        <f t="shared" si="1"/>
        <v>1288.8499999999999</v>
      </c>
      <c r="K53" s="8">
        <f t="shared" si="2"/>
        <v>7733.1</v>
      </c>
    </row>
    <row r="54" spans="1:11" ht="18.75" x14ac:dyDescent="0.25">
      <c r="A54" s="6">
        <f t="shared" si="7"/>
        <v>42</v>
      </c>
      <c r="B54" s="6">
        <f t="shared" si="8"/>
        <v>42</v>
      </c>
      <c r="C54" s="10" t="s">
        <v>323</v>
      </c>
      <c r="D54" s="11" t="s">
        <v>496</v>
      </c>
      <c r="E54" s="7">
        <v>7921.25</v>
      </c>
      <c r="F54" s="7"/>
      <c r="G54" s="7"/>
      <c r="H54" s="8"/>
      <c r="I54" s="7">
        <f t="shared" si="0"/>
        <v>8578.0300000000007</v>
      </c>
      <c r="J54" s="7">
        <f t="shared" si="1"/>
        <v>1715.61</v>
      </c>
      <c r="K54" s="8">
        <f t="shared" si="2"/>
        <v>10293.64</v>
      </c>
    </row>
    <row r="55" spans="1:11" ht="31.5" x14ac:dyDescent="0.25">
      <c r="A55" s="6">
        <f t="shared" si="7"/>
        <v>43</v>
      </c>
      <c r="B55" s="6">
        <f t="shared" si="8"/>
        <v>43</v>
      </c>
      <c r="C55" s="12" t="s">
        <v>324</v>
      </c>
      <c r="D55" s="11" t="s">
        <v>500</v>
      </c>
      <c r="E55" s="7">
        <v>1240.0999999999999</v>
      </c>
      <c r="F55" s="7"/>
      <c r="G55" s="7"/>
      <c r="H55" s="8"/>
      <c r="I55" s="7">
        <f t="shared" si="0"/>
        <v>1342.92</v>
      </c>
      <c r="J55" s="7">
        <f t="shared" si="1"/>
        <v>268.58</v>
      </c>
      <c r="K55" s="8">
        <f t="shared" si="2"/>
        <v>1611.5</v>
      </c>
    </row>
    <row r="56" spans="1:11" ht="31.5" x14ac:dyDescent="0.25">
      <c r="A56" s="6">
        <f t="shared" si="7"/>
        <v>44</v>
      </c>
      <c r="B56" s="6">
        <f t="shared" si="8"/>
        <v>44</v>
      </c>
      <c r="C56" s="12" t="s">
        <v>325</v>
      </c>
      <c r="D56" s="11" t="s">
        <v>500</v>
      </c>
      <c r="E56" s="7">
        <v>1240.0999999999999</v>
      </c>
      <c r="F56" s="7"/>
      <c r="G56" s="7"/>
      <c r="H56" s="8"/>
      <c r="I56" s="7">
        <f t="shared" si="0"/>
        <v>1342.92</v>
      </c>
      <c r="J56" s="7">
        <f t="shared" si="1"/>
        <v>268.58</v>
      </c>
      <c r="K56" s="8">
        <f t="shared" si="2"/>
        <v>1611.5</v>
      </c>
    </row>
    <row r="57" spans="1:11" ht="18.75" x14ac:dyDescent="0.25">
      <c r="A57" s="6">
        <f t="shared" si="7"/>
        <v>45</v>
      </c>
      <c r="B57" s="6">
        <f t="shared" si="8"/>
        <v>45</v>
      </c>
      <c r="C57" s="12" t="s">
        <v>326</v>
      </c>
      <c r="D57" s="11" t="s">
        <v>500</v>
      </c>
      <c r="E57" s="7">
        <v>17403.57</v>
      </c>
      <c r="F57" s="7"/>
      <c r="G57" s="7"/>
      <c r="H57" s="8"/>
      <c r="I57" s="7">
        <f t="shared" si="0"/>
        <v>18846.57</v>
      </c>
      <c r="J57" s="7">
        <f t="shared" si="1"/>
        <v>3769.31</v>
      </c>
      <c r="K57" s="8">
        <f t="shared" si="2"/>
        <v>22615.88</v>
      </c>
    </row>
    <row r="58" spans="1:11" ht="31.5" x14ac:dyDescent="0.25">
      <c r="A58" s="6">
        <f t="shared" si="7"/>
        <v>46</v>
      </c>
      <c r="B58" s="6">
        <f t="shared" si="8"/>
        <v>46</v>
      </c>
      <c r="C58" s="10" t="s">
        <v>327</v>
      </c>
      <c r="D58" s="11" t="s">
        <v>497</v>
      </c>
      <c r="E58" s="7">
        <v>1143.69</v>
      </c>
      <c r="F58" s="7"/>
      <c r="G58" s="7"/>
      <c r="H58" s="8"/>
      <c r="I58" s="7">
        <f t="shared" si="0"/>
        <v>1238.52</v>
      </c>
      <c r="J58" s="7">
        <f t="shared" si="1"/>
        <v>247.7</v>
      </c>
      <c r="K58" s="8">
        <f t="shared" si="2"/>
        <v>1486.22</v>
      </c>
    </row>
    <row r="59" spans="1:11" ht="18.75" x14ac:dyDescent="0.25">
      <c r="A59" s="6">
        <f>A58+1</f>
        <v>47</v>
      </c>
      <c r="B59" s="6">
        <f t="shared" si="8"/>
        <v>47</v>
      </c>
      <c r="C59" s="10" t="s">
        <v>328</v>
      </c>
      <c r="D59" s="11" t="s">
        <v>495</v>
      </c>
      <c r="E59" s="7">
        <v>2783219.01</v>
      </c>
      <c r="F59" s="7"/>
      <c r="G59" s="7"/>
      <c r="H59" s="8"/>
      <c r="I59" s="7">
        <f t="shared" si="0"/>
        <v>3013987.39</v>
      </c>
      <c r="J59" s="7">
        <f t="shared" si="1"/>
        <v>602797.48</v>
      </c>
      <c r="K59" s="8">
        <f t="shared" si="2"/>
        <v>3616784.87</v>
      </c>
    </row>
    <row r="60" spans="1:11" ht="18.75" x14ac:dyDescent="0.25">
      <c r="A60" s="6">
        <f t="shared" si="7"/>
        <v>48</v>
      </c>
      <c r="B60" s="6">
        <f t="shared" si="8"/>
        <v>48</v>
      </c>
      <c r="C60" s="10" t="s">
        <v>329</v>
      </c>
      <c r="D60" s="11" t="s">
        <v>495</v>
      </c>
      <c r="E60" s="7">
        <v>2247614</v>
      </c>
      <c r="F60" s="7"/>
      <c r="G60" s="7"/>
      <c r="H60" s="8"/>
      <c r="I60" s="7">
        <f t="shared" si="0"/>
        <v>2433973.12</v>
      </c>
      <c r="J60" s="7">
        <f t="shared" si="1"/>
        <v>486794.62</v>
      </c>
      <c r="K60" s="8">
        <f t="shared" si="2"/>
        <v>2920767.74</v>
      </c>
    </row>
    <row r="61" spans="1:11" ht="18.75" x14ac:dyDescent="0.25">
      <c r="A61" s="6">
        <f t="shared" si="7"/>
        <v>49</v>
      </c>
      <c r="B61" s="6">
        <f t="shared" si="8"/>
        <v>49</v>
      </c>
      <c r="C61" s="10" t="s">
        <v>330</v>
      </c>
      <c r="D61" s="11" t="s">
        <v>493</v>
      </c>
      <c r="E61" s="7">
        <v>103405.61</v>
      </c>
      <c r="F61" s="7"/>
      <c r="G61" s="7"/>
      <c r="H61" s="8"/>
      <c r="I61" s="7">
        <f t="shared" si="0"/>
        <v>111979.4</v>
      </c>
      <c r="J61" s="7">
        <f t="shared" si="1"/>
        <v>22395.88</v>
      </c>
      <c r="K61" s="8">
        <f t="shared" si="2"/>
        <v>134375.28</v>
      </c>
    </row>
    <row r="62" spans="1:11" ht="18.75" x14ac:dyDescent="0.25">
      <c r="A62" s="6">
        <f t="shared" si="7"/>
        <v>50</v>
      </c>
      <c r="B62" s="6">
        <f t="shared" si="7"/>
        <v>50</v>
      </c>
      <c r="C62" s="10" t="s">
        <v>331</v>
      </c>
      <c r="D62" s="11" t="s">
        <v>496</v>
      </c>
      <c r="E62" s="7">
        <v>3754.59</v>
      </c>
      <c r="F62" s="7"/>
      <c r="G62" s="7"/>
      <c r="H62" s="8"/>
      <c r="I62" s="7">
        <f t="shared" si="0"/>
        <v>4065.9</v>
      </c>
      <c r="J62" s="7">
        <f t="shared" si="1"/>
        <v>813.18</v>
      </c>
      <c r="K62" s="8">
        <f t="shared" si="2"/>
        <v>4879.08</v>
      </c>
    </row>
    <row r="63" spans="1:11" ht="18.75" x14ac:dyDescent="0.25">
      <c r="A63" s="6">
        <f>A62+1</f>
        <v>51</v>
      </c>
      <c r="B63" s="6">
        <f>B62+1</f>
        <v>51</v>
      </c>
      <c r="C63" s="10" t="s">
        <v>332</v>
      </c>
      <c r="D63" s="11" t="s">
        <v>496</v>
      </c>
      <c r="E63" s="7">
        <v>2644.71</v>
      </c>
      <c r="F63" s="7"/>
      <c r="G63" s="7"/>
      <c r="H63" s="8"/>
      <c r="I63" s="7">
        <f t="shared" si="0"/>
        <v>2863.99</v>
      </c>
      <c r="J63" s="7">
        <f t="shared" si="1"/>
        <v>572.79999999999995</v>
      </c>
      <c r="K63" s="8">
        <f t="shared" si="2"/>
        <v>3436.79</v>
      </c>
    </row>
    <row r="64" spans="1:11" ht="31.5" x14ac:dyDescent="0.25">
      <c r="A64" s="6">
        <f t="shared" si="7"/>
        <v>52</v>
      </c>
      <c r="B64" s="6">
        <f t="shared" si="7"/>
        <v>52</v>
      </c>
      <c r="C64" s="10" t="s">
        <v>333</v>
      </c>
      <c r="D64" s="11" t="s">
        <v>496</v>
      </c>
      <c r="E64" s="7">
        <v>4662.1099999999997</v>
      </c>
      <c r="F64" s="7"/>
      <c r="G64" s="7"/>
      <c r="H64" s="8"/>
      <c r="I64" s="7">
        <f t="shared" si="0"/>
        <v>5048.67</v>
      </c>
      <c r="J64" s="7">
        <f t="shared" si="1"/>
        <v>1009.73</v>
      </c>
      <c r="K64" s="8">
        <f t="shared" si="2"/>
        <v>6058.4</v>
      </c>
    </row>
    <row r="65" spans="1:11" ht="18.75" x14ac:dyDescent="0.25">
      <c r="A65" s="6">
        <f t="shared" ref="A65:B67" si="9">A64+1</f>
        <v>53</v>
      </c>
      <c r="B65" s="6">
        <f t="shared" si="9"/>
        <v>53</v>
      </c>
      <c r="C65" s="10" t="s">
        <v>334</v>
      </c>
      <c r="D65" s="11" t="s">
        <v>493</v>
      </c>
      <c r="E65" s="7">
        <v>448940.37</v>
      </c>
      <c r="F65" s="7"/>
      <c r="G65" s="7"/>
      <c r="H65" s="8"/>
      <c r="I65" s="7">
        <f t="shared" si="0"/>
        <v>486163.9</v>
      </c>
      <c r="J65" s="7">
        <f t="shared" si="1"/>
        <v>97232.78</v>
      </c>
      <c r="K65" s="8">
        <f t="shared" si="2"/>
        <v>583396.68000000005</v>
      </c>
    </row>
    <row r="66" spans="1:11" ht="18.75" x14ac:dyDescent="0.25">
      <c r="A66" s="6">
        <f t="shared" si="9"/>
        <v>54</v>
      </c>
      <c r="B66" s="6">
        <f t="shared" si="9"/>
        <v>54</v>
      </c>
      <c r="C66" s="10" t="s">
        <v>335</v>
      </c>
      <c r="D66" s="11" t="s">
        <v>493</v>
      </c>
      <c r="E66" s="7">
        <v>208762.41</v>
      </c>
      <c r="F66" s="7"/>
      <c r="G66" s="7"/>
      <c r="H66" s="8"/>
      <c r="I66" s="7">
        <f t="shared" si="0"/>
        <v>226071.78</v>
      </c>
      <c r="J66" s="7">
        <f t="shared" si="1"/>
        <v>45214.36</v>
      </c>
      <c r="K66" s="8">
        <f t="shared" si="2"/>
        <v>271286.14</v>
      </c>
    </row>
    <row r="67" spans="1:11" ht="18.75" x14ac:dyDescent="0.25">
      <c r="A67" s="6">
        <f t="shared" si="9"/>
        <v>55</v>
      </c>
      <c r="B67" s="6">
        <f t="shared" si="9"/>
        <v>55</v>
      </c>
      <c r="C67" s="10" t="s">
        <v>336</v>
      </c>
      <c r="D67" s="11" t="s">
        <v>493</v>
      </c>
      <c r="E67" s="7">
        <v>149.22</v>
      </c>
      <c r="F67" s="7"/>
      <c r="G67" s="7"/>
      <c r="H67" s="8"/>
      <c r="I67" s="7">
        <f t="shared" si="0"/>
        <v>161.59</v>
      </c>
      <c r="J67" s="7">
        <f t="shared" si="1"/>
        <v>32.32</v>
      </c>
      <c r="K67" s="8">
        <f t="shared" si="2"/>
        <v>193.91</v>
      </c>
    </row>
    <row r="68" spans="1:11" ht="18.75" x14ac:dyDescent="0.25">
      <c r="A68" s="6">
        <f t="shared" ref="A68:B73" si="10">A67+1</f>
        <v>56</v>
      </c>
      <c r="B68" s="6">
        <f t="shared" si="10"/>
        <v>56</v>
      </c>
      <c r="C68" s="10" t="s">
        <v>337</v>
      </c>
      <c r="D68" s="11" t="s">
        <v>493</v>
      </c>
      <c r="E68" s="7">
        <v>239.61</v>
      </c>
      <c r="F68" s="7"/>
      <c r="G68" s="7"/>
      <c r="H68" s="8"/>
      <c r="I68" s="7">
        <f t="shared" si="0"/>
        <v>259.48</v>
      </c>
      <c r="J68" s="7">
        <f t="shared" si="1"/>
        <v>51.9</v>
      </c>
      <c r="K68" s="8">
        <f t="shared" si="2"/>
        <v>311.38</v>
      </c>
    </row>
    <row r="69" spans="1:11" ht="18.75" x14ac:dyDescent="0.25">
      <c r="A69" s="6">
        <f t="shared" si="10"/>
        <v>57</v>
      </c>
      <c r="B69" s="6">
        <f t="shared" si="10"/>
        <v>57</v>
      </c>
      <c r="C69" s="10" t="s">
        <v>338</v>
      </c>
      <c r="D69" s="11" t="s">
        <v>501</v>
      </c>
      <c r="E69" s="7">
        <v>5227.49</v>
      </c>
      <c r="F69" s="7"/>
      <c r="G69" s="7"/>
      <c r="H69" s="8"/>
      <c r="I69" s="7">
        <f t="shared" si="0"/>
        <v>5660.92</v>
      </c>
      <c r="J69" s="7">
        <f t="shared" si="1"/>
        <v>1132.18</v>
      </c>
      <c r="K69" s="8">
        <f t="shared" si="2"/>
        <v>6793.1</v>
      </c>
    </row>
    <row r="70" spans="1:11" ht="31.5" x14ac:dyDescent="0.25">
      <c r="A70" s="6">
        <f t="shared" si="10"/>
        <v>58</v>
      </c>
      <c r="B70" s="6">
        <f t="shared" si="10"/>
        <v>58</v>
      </c>
      <c r="C70" s="10" t="s">
        <v>339</v>
      </c>
      <c r="D70" s="11" t="s">
        <v>497</v>
      </c>
      <c r="E70" s="7">
        <v>1143.69</v>
      </c>
      <c r="F70" s="7"/>
      <c r="G70" s="7"/>
      <c r="H70" s="8"/>
      <c r="I70" s="7">
        <f t="shared" si="0"/>
        <v>1238.52</v>
      </c>
      <c r="J70" s="7">
        <f t="shared" si="1"/>
        <v>247.7</v>
      </c>
      <c r="K70" s="8">
        <f t="shared" si="2"/>
        <v>1486.22</v>
      </c>
    </row>
    <row r="71" spans="1:11" ht="31.5" x14ac:dyDescent="0.25">
      <c r="A71" s="6">
        <f t="shared" si="10"/>
        <v>59</v>
      </c>
      <c r="B71" s="6">
        <f t="shared" si="10"/>
        <v>59</v>
      </c>
      <c r="C71" s="10" t="s">
        <v>340</v>
      </c>
      <c r="D71" s="11" t="s">
        <v>493</v>
      </c>
      <c r="E71" s="7">
        <v>4151.21</v>
      </c>
      <c r="F71" s="7"/>
      <c r="G71" s="7"/>
      <c r="H71" s="8"/>
      <c r="I71" s="7">
        <f t="shared" si="0"/>
        <v>4495.3999999999996</v>
      </c>
      <c r="J71" s="7">
        <f t="shared" si="1"/>
        <v>899.08</v>
      </c>
      <c r="K71" s="8">
        <f t="shared" si="2"/>
        <v>5394.48</v>
      </c>
    </row>
    <row r="72" spans="1:11" ht="63" x14ac:dyDescent="0.25">
      <c r="A72" s="6">
        <f t="shared" si="10"/>
        <v>60</v>
      </c>
      <c r="B72" s="6">
        <f t="shared" si="10"/>
        <v>60</v>
      </c>
      <c r="C72" s="10" t="s">
        <v>341</v>
      </c>
      <c r="D72" s="11" t="s">
        <v>494</v>
      </c>
      <c r="E72" s="7">
        <v>2789.46</v>
      </c>
      <c r="F72" s="7"/>
      <c r="G72" s="7"/>
      <c r="H72" s="8"/>
      <c r="I72" s="7">
        <f t="shared" si="0"/>
        <v>3020.75</v>
      </c>
      <c r="J72" s="7">
        <f t="shared" si="1"/>
        <v>604.15</v>
      </c>
      <c r="K72" s="8">
        <f t="shared" si="2"/>
        <v>3624.9</v>
      </c>
    </row>
    <row r="73" spans="1:11" ht="63" x14ac:dyDescent="0.25">
      <c r="A73" s="6">
        <f t="shared" si="10"/>
        <v>61</v>
      </c>
      <c r="B73" s="6">
        <f t="shared" si="10"/>
        <v>61</v>
      </c>
      <c r="C73" s="10" t="s">
        <v>342</v>
      </c>
      <c r="D73" s="11" t="s">
        <v>494</v>
      </c>
      <c r="E73" s="7">
        <v>3750.43</v>
      </c>
      <c r="F73" s="7"/>
      <c r="G73" s="7"/>
      <c r="H73" s="8"/>
      <c r="I73" s="7">
        <f t="shared" si="0"/>
        <v>4061.39</v>
      </c>
      <c r="J73" s="7">
        <f t="shared" si="1"/>
        <v>812.28</v>
      </c>
      <c r="K73" s="8">
        <f t="shared" si="2"/>
        <v>4873.67</v>
      </c>
    </row>
    <row r="74" spans="1:11" ht="63" x14ac:dyDescent="0.25">
      <c r="A74" s="6">
        <f t="shared" ref="A74:A89" si="11">A73+1</f>
        <v>62</v>
      </c>
      <c r="B74" s="6">
        <f t="shared" ref="B74:B85" si="12">B73+1</f>
        <v>62</v>
      </c>
      <c r="C74" s="10" t="s">
        <v>343</v>
      </c>
      <c r="D74" s="11" t="s">
        <v>494</v>
      </c>
      <c r="E74" s="7">
        <v>3341.51</v>
      </c>
      <c r="F74" s="7"/>
      <c r="G74" s="7"/>
      <c r="H74" s="8"/>
      <c r="I74" s="7">
        <f t="shared" si="0"/>
        <v>3618.57</v>
      </c>
      <c r="J74" s="7">
        <f t="shared" si="1"/>
        <v>723.71</v>
      </c>
      <c r="K74" s="8">
        <f t="shared" si="2"/>
        <v>4342.28</v>
      </c>
    </row>
    <row r="75" spans="1:11" ht="47.25" x14ac:dyDescent="0.25">
      <c r="A75" s="6">
        <f t="shared" si="11"/>
        <v>63</v>
      </c>
      <c r="B75" s="6">
        <f t="shared" si="12"/>
        <v>63</v>
      </c>
      <c r="C75" s="10" t="s">
        <v>344</v>
      </c>
      <c r="D75" s="11" t="s">
        <v>494</v>
      </c>
      <c r="E75" s="7">
        <v>3554.14</v>
      </c>
      <c r="F75" s="7"/>
      <c r="G75" s="7"/>
      <c r="H75" s="8"/>
      <c r="I75" s="7">
        <f t="shared" si="0"/>
        <v>3848.83</v>
      </c>
      <c r="J75" s="7">
        <f t="shared" si="1"/>
        <v>769.77</v>
      </c>
      <c r="K75" s="8">
        <f t="shared" si="2"/>
        <v>4618.6000000000004</v>
      </c>
    </row>
    <row r="76" spans="1:11" ht="47.25" x14ac:dyDescent="0.25">
      <c r="A76" s="6">
        <f t="shared" si="11"/>
        <v>64</v>
      </c>
      <c r="B76" s="6">
        <f t="shared" si="12"/>
        <v>64</v>
      </c>
      <c r="C76" s="10" t="s">
        <v>345</v>
      </c>
      <c r="D76" s="11" t="s">
        <v>494</v>
      </c>
      <c r="E76" s="7">
        <v>2647.53</v>
      </c>
      <c r="F76" s="7"/>
      <c r="G76" s="7"/>
      <c r="H76" s="8"/>
      <c r="I76" s="7">
        <f t="shared" si="0"/>
        <v>2867.05</v>
      </c>
      <c r="J76" s="7">
        <f t="shared" si="1"/>
        <v>573.41</v>
      </c>
      <c r="K76" s="8">
        <f t="shared" si="2"/>
        <v>3440.46</v>
      </c>
    </row>
    <row r="77" spans="1:11" ht="63" x14ac:dyDescent="0.25">
      <c r="A77" s="6">
        <f t="shared" si="11"/>
        <v>65</v>
      </c>
      <c r="B77" s="6">
        <f t="shared" si="12"/>
        <v>65</v>
      </c>
      <c r="C77" s="10" t="s">
        <v>346</v>
      </c>
      <c r="D77" s="11" t="s">
        <v>494</v>
      </c>
      <c r="E77" s="7">
        <v>2319.21</v>
      </c>
      <c r="F77" s="7"/>
      <c r="G77" s="7"/>
      <c r="H77" s="8"/>
      <c r="I77" s="7">
        <f t="shared" si="0"/>
        <v>2511.5100000000002</v>
      </c>
      <c r="J77" s="7">
        <f t="shared" si="1"/>
        <v>502.3</v>
      </c>
      <c r="K77" s="8">
        <f t="shared" si="2"/>
        <v>3013.81</v>
      </c>
    </row>
    <row r="78" spans="1:11" ht="18.75" x14ac:dyDescent="0.25">
      <c r="A78" s="6">
        <f>A77+1</f>
        <v>66</v>
      </c>
      <c r="B78" s="6">
        <f t="shared" si="12"/>
        <v>66</v>
      </c>
      <c r="C78" s="10" t="s">
        <v>347</v>
      </c>
      <c r="D78" s="11" t="s">
        <v>496</v>
      </c>
      <c r="E78" s="7">
        <v>50.86</v>
      </c>
      <c r="F78" s="7"/>
      <c r="G78" s="7"/>
      <c r="H78" s="8"/>
      <c r="I78" s="7">
        <f t="shared" ref="I78:I141" si="13">E78*1.0083*1.074</f>
        <v>55.08</v>
      </c>
      <c r="J78" s="7">
        <f t="shared" si="1"/>
        <v>11.02</v>
      </c>
      <c r="K78" s="8">
        <f t="shared" si="2"/>
        <v>66.099999999999994</v>
      </c>
    </row>
    <row r="79" spans="1:11" ht="47.25" x14ac:dyDescent="0.25">
      <c r="A79" s="6">
        <f>A78+1</f>
        <v>67</v>
      </c>
      <c r="B79" s="6">
        <f t="shared" si="12"/>
        <v>67</v>
      </c>
      <c r="C79" s="10" t="s">
        <v>348</v>
      </c>
      <c r="D79" s="11" t="s">
        <v>494</v>
      </c>
      <c r="E79" s="7">
        <v>1117.1600000000001</v>
      </c>
      <c r="F79" s="7"/>
      <c r="G79" s="7"/>
      <c r="H79" s="8"/>
      <c r="I79" s="7">
        <f t="shared" si="13"/>
        <v>1209.79</v>
      </c>
      <c r="J79" s="7">
        <f t="shared" ref="J79:J142" si="14">I79*0.2</f>
        <v>241.96</v>
      </c>
      <c r="K79" s="8">
        <f t="shared" ref="K79:K142" si="15">I79+J79</f>
        <v>1451.75</v>
      </c>
    </row>
    <row r="80" spans="1:11" ht="63" x14ac:dyDescent="0.25">
      <c r="A80" s="6">
        <f t="shared" si="11"/>
        <v>68</v>
      </c>
      <c r="B80" s="6">
        <f t="shared" si="12"/>
        <v>68</v>
      </c>
      <c r="C80" s="10" t="s">
        <v>349</v>
      </c>
      <c r="D80" s="11" t="s">
        <v>494</v>
      </c>
      <c r="E80" s="7">
        <v>4566.5</v>
      </c>
      <c r="F80" s="7"/>
      <c r="G80" s="7"/>
      <c r="H80" s="8"/>
      <c r="I80" s="7">
        <f t="shared" si="13"/>
        <v>4945.13</v>
      </c>
      <c r="J80" s="7">
        <f t="shared" si="14"/>
        <v>989.03</v>
      </c>
      <c r="K80" s="8">
        <f t="shared" si="15"/>
        <v>5934.16</v>
      </c>
    </row>
    <row r="81" spans="1:11" ht="47.25" x14ac:dyDescent="0.25">
      <c r="A81" s="6">
        <f t="shared" si="11"/>
        <v>69</v>
      </c>
      <c r="B81" s="6">
        <f t="shared" si="12"/>
        <v>69</v>
      </c>
      <c r="C81" s="10" t="s">
        <v>350</v>
      </c>
      <c r="D81" s="11" t="s">
        <v>494</v>
      </c>
      <c r="E81" s="7">
        <v>4522.1000000000004</v>
      </c>
      <c r="F81" s="7"/>
      <c r="G81" s="7"/>
      <c r="H81" s="8"/>
      <c r="I81" s="7">
        <f t="shared" si="13"/>
        <v>4897.05</v>
      </c>
      <c r="J81" s="7">
        <f t="shared" si="14"/>
        <v>979.41</v>
      </c>
      <c r="K81" s="8">
        <f t="shared" si="15"/>
        <v>5876.46</v>
      </c>
    </row>
    <row r="82" spans="1:11" ht="31.5" x14ac:dyDescent="0.25">
      <c r="A82" s="6">
        <f t="shared" si="11"/>
        <v>70</v>
      </c>
      <c r="B82" s="6">
        <f t="shared" si="12"/>
        <v>70</v>
      </c>
      <c r="C82" s="10" t="s">
        <v>351</v>
      </c>
      <c r="D82" s="11" t="s">
        <v>493</v>
      </c>
      <c r="E82" s="7">
        <v>365599.89</v>
      </c>
      <c r="F82" s="7"/>
      <c r="G82" s="7"/>
      <c r="H82" s="8"/>
      <c r="I82" s="7">
        <f t="shared" si="13"/>
        <v>395913.31</v>
      </c>
      <c r="J82" s="7">
        <f t="shared" si="14"/>
        <v>79182.66</v>
      </c>
      <c r="K82" s="8">
        <f t="shared" si="15"/>
        <v>475095.97</v>
      </c>
    </row>
    <row r="83" spans="1:11" ht="31.5" x14ac:dyDescent="0.25">
      <c r="A83" s="6">
        <f t="shared" si="11"/>
        <v>71</v>
      </c>
      <c r="B83" s="6">
        <f t="shared" si="12"/>
        <v>71</v>
      </c>
      <c r="C83" s="10" t="s">
        <v>352</v>
      </c>
      <c r="D83" s="11" t="s">
        <v>493</v>
      </c>
      <c r="E83" s="7">
        <v>2052427.46</v>
      </c>
      <c r="F83" s="7"/>
      <c r="G83" s="7"/>
      <c r="H83" s="8"/>
      <c r="I83" s="7">
        <f t="shared" si="13"/>
        <v>2222602.84</v>
      </c>
      <c r="J83" s="7">
        <f t="shared" si="14"/>
        <v>444520.57</v>
      </c>
      <c r="K83" s="8">
        <f t="shared" si="15"/>
        <v>2667123.41</v>
      </c>
    </row>
    <row r="84" spans="1:11" ht="47.25" x14ac:dyDescent="0.25">
      <c r="A84" s="6">
        <f t="shared" si="11"/>
        <v>72</v>
      </c>
      <c r="B84" s="6">
        <f t="shared" si="12"/>
        <v>72</v>
      </c>
      <c r="C84" s="10" t="s">
        <v>353</v>
      </c>
      <c r="D84" s="11" t="s">
        <v>493</v>
      </c>
      <c r="E84" s="7">
        <v>183915.42</v>
      </c>
      <c r="F84" s="7"/>
      <c r="G84" s="7"/>
      <c r="H84" s="8"/>
      <c r="I84" s="7">
        <f t="shared" si="13"/>
        <v>199164.62</v>
      </c>
      <c r="J84" s="7">
        <f t="shared" si="14"/>
        <v>39832.92</v>
      </c>
      <c r="K84" s="8">
        <f t="shared" si="15"/>
        <v>238997.54</v>
      </c>
    </row>
    <row r="85" spans="1:11" ht="18.75" x14ac:dyDescent="0.25">
      <c r="A85" s="6">
        <f t="shared" si="11"/>
        <v>73</v>
      </c>
      <c r="B85" s="6">
        <f t="shared" si="12"/>
        <v>73</v>
      </c>
      <c r="C85" s="10" t="s">
        <v>354</v>
      </c>
      <c r="D85" s="11" t="s">
        <v>499</v>
      </c>
      <c r="E85" s="7">
        <v>135.91</v>
      </c>
      <c r="F85" s="7"/>
      <c r="G85" s="7"/>
      <c r="H85" s="8"/>
      <c r="I85" s="7">
        <f t="shared" si="13"/>
        <v>147.18</v>
      </c>
      <c r="J85" s="7">
        <f t="shared" si="14"/>
        <v>29.44</v>
      </c>
      <c r="K85" s="8">
        <f t="shared" si="15"/>
        <v>176.62</v>
      </c>
    </row>
    <row r="86" spans="1:11" ht="18.75" x14ac:dyDescent="0.25">
      <c r="A86" s="6">
        <f>A85+1</f>
        <v>74</v>
      </c>
      <c r="B86" s="6">
        <f t="shared" ref="B86:B106" si="16">B85+1</f>
        <v>74</v>
      </c>
      <c r="C86" s="10" t="s">
        <v>355</v>
      </c>
      <c r="D86" s="11" t="s">
        <v>502</v>
      </c>
      <c r="E86" s="7">
        <v>87.61</v>
      </c>
      <c r="F86" s="7"/>
      <c r="G86" s="7"/>
      <c r="H86" s="8"/>
      <c r="I86" s="7">
        <f t="shared" si="13"/>
        <v>94.87</v>
      </c>
      <c r="J86" s="7">
        <f t="shared" si="14"/>
        <v>18.97</v>
      </c>
      <c r="K86" s="8">
        <f t="shared" si="15"/>
        <v>113.84</v>
      </c>
    </row>
    <row r="87" spans="1:11" ht="31.5" x14ac:dyDescent="0.25">
      <c r="A87" s="6">
        <f t="shared" si="11"/>
        <v>75</v>
      </c>
      <c r="B87" s="6">
        <f t="shared" si="16"/>
        <v>75</v>
      </c>
      <c r="C87" s="12" t="s">
        <v>356</v>
      </c>
      <c r="D87" s="11" t="s">
        <v>499</v>
      </c>
      <c r="E87" s="7">
        <v>236.42</v>
      </c>
      <c r="F87" s="7"/>
      <c r="G87" s="7"/>
      <c r="H87" s="8"/>
      <c r="I87" s="7">
        <f t="shared" si="13"/>
        <v>256.02</v>
      </c>
      <c r="J87" s="7">
        <f t="shared" si="14"/>
        <v>51.2</v>
      </c>
      <c r="K87" s="8">
        <f t="shared" si="15"/>
        <v>307.22000000000003</v>
      </c>
    </row>
    <row r="88" spans="1:11" ht="31.5" x14ac:dyDescent="0.25">
      <c r="A88" s="6">
        <f>A87+1</f>
        <v>76</v>
      </c>
      <c r="B88" s="6">
        <f t="shared" si="16"/>
        <v>76</v>
      </c>
      <c r="C88" s="12" t="s">
        <v>357</v>
      </c>
      <c r="D88" s="11" t="s">
        <v>499</v>
      </c>
      <c r="E88" s="7">
        <v>383.08</v>
      </c>
      <c r="F88" s="7"/>
      <c r="G88" s="7"/>
      <c r="H88" s="8"/>
      <c r="I88" s="7">
        <f t="shared" si="13"/>
        <v>414.84</v>
      </c>
      <c r="J88" s="7">
        <f t="shared" si="14"/>
        <v>82.97</v>
      </c>
      <c r="K88" s="8">
        <f t="shared" si="15"/>
        <v>497.81</v>
      </c>
    </row>
    <row r="89" spans="1:11" ht="31.5" x14ac:dyDescent="0.25">
      <c r="A89" s="6">
        <f t="shared" si="11"/>
        <v>77</v>
      </c>
      <c r="B89" s="6">
        <f t="shared" si="16"/>
        <v>77</v>
      </c>
      <c r="C89" s="10" t="s">
        <v>358</v>
      </c>
      <c r="D89" s="11" t="s">
        <v>499</v>
      </c>
      <c r="E89" s="7">
        <v>109.25</v>
      </c>
      <c r="F89" s="7"/>
      <c r="G89" s="7"/>
      <c r="H89" s="8"/>
      <c r="I89" s="7">
        <f t="shared" si="13"/>
        <v>118.31</v>
      </c>
      <c r="J89" s="7">
        <f t="shared" si="14"/>
        <v>23.66</v>
      </c>
      <c r="K89" s="8">
        <f t="shared" si="15"/>
        <v>141.97</v>
      </c>
    </row>
    <row r="90" spans="1:11" ht="31.5" x14ac:dyDescent="0.25">
      <c r="A90" s="6">
        <f>A89+1</f>
        <v>78</v>
      </c>
      <c r="B90" s="6">
        <f t="shared" si="16"/>
        <v>78</v>
      </c>
      <c r="C90" s="10" t="s">
        <v>359</v>
      </c>
      <c r="D90" s="11" t="s">
        <v>497</v>
      </c>
      <c r="E90" s="7">
        <v>350.24</v>
      </c>
      <c r="F90" s="7"/>
      <c r="G90" s="7"/>
      <c r="H90" s="8"/>
      <c r="I90" s="7">
        <f t="shared" si="13"/>
        <v>379.28</v>
      </c>
      <c r="J90" s="7">
        <f t="shared" si="14"/>
        <v>75.86</v>
      </c>
      <c r="K90" s="8">
        <f t="shared" si="15"/>
        <v>455.14</v>
      </c>
    </row>
    <row r="91" spans="1:11" ht="31.5" x14ac:dyDescent="0.25">
      <c r="A91" s="6">
        <f>A90+1</f>
        <v>79</v>
      </c>
      <c r="B91" s="6">
        <f t="shared" si="16"/>
        <v>79</v>
      </c>
      <c r="C91" s="10" t="s">
        <v>360</v>
      </c>
      <c r="D91" s="11" t="s">
        <v>493</v>
      </c>
      <c r="E91" s="7">
        <v>1456.68</v>
      </c>
      <c r="F91" s="7"/>
      <c r="G91" s="7"/>
      <c r="H91" s="8"/>
      <c r="I91" s="7">
        <f t="shared" si="13"/>
        <v>1577.46</v>
      </c>
      <c r="J91" s="7">
        <f t="shared" si="14"/>
        <v>315.49</v>
      </c>
      <c r="K91" s="8">
        <f t="shared" si="15"/>
        <v>1892.95</v>
      </c>
    </row>
    <row r="92" spans="1:11" ht="18.75" x14ac:dyDescent="0.25">
      <c r="A92" s="6">
        <f t="shared" ref="A92:A107" si="17">A91+1</f>
        <v>80</v>
      </c>
      <c r="B92" s="6">
        <f t="shared" si="16"/>
        <v>80</v>
      </c>
      <c r="C92" s="10" t="s">
        <v>361</v>
      </c>
      <c r="D92" s="11" t="s">
        <v>494</v>
      </c>
      <c r="E92" s="7">
        <v>740.55</v>
      </c>
      <c r="F92" s="7"/>
      <c r="G92" s="7"/>
      <c r="H92" s="8"/>
      <c r="I92" s="7">
        <f t="shared" si="13"/>
        <v>801.95</v>
      </c>
      <c r="J92" s="7">
        <f t="shared" si="14"/>
        <v>160.38999999999999</v>
      </c>
      <c r="K92" s="8">
        <f t="shared" si="15"/>
        <v>962.34</v>
      </c>
    </row>
    <row r="93" spans="1:11" ht="18.75" x14ac:dyDescent="0.25">
      <c r="A93" s="6">
        <f t="shared" si="17"/>
        <v>81</v>
      </c>
      <c r="B93" s="6">
        <f t="shared" si="16"/>
        <v>81</v>
      </c>
      <c r="C93" s="10" t="s">
        <v>362</v>
      </c>
      <c r="D93" s="11" t="s">
        <v>493</v>
      </c>
      <c r="E93" s="7">
        <v>890.97</v>
      </c>
      <c r="F93" s="7"/>
      <c r="G93" s="7"/>
      <c r="H93" s="8"/>
      <c r="I93" s="7">
        <f t="shared" si="13"/>
        <v>964.84</v>
      </c>
      <c r="J93" s="7">
        <f t="shared" si="14"/>
        <v>192.97</v>
      </c>
      <c r="K93" s="8">
        <f t="shared" si="15"/>
        <v>1157.81</v>
      </c>
    </row>
    <row r="94" spans="1:11" ht="31.5" x14ac:dyDescent="0.25">
      <c r="A94" s="6">
        <f t="shared" si="17"/>
        <v>82</v>
      </c>
      <c r="B94" s="6">
        <f>B93+1</f>
        <v>82</v>
      </c>
      <c r="C94" s="10" t="s">
        <v>363</v>
      </c>
      <c r="D94" s="11" t="s">
        <v>493</v>
      </c>
      <c r="E94" s="7">
        <v>69082.19</v>
      </c>
      <c r="F94" s="7"/>
      <c r="G94" s="7"/>
      <c r="H94" s="8"/>
      <c r="I94" s="7">
        <f t="shared" si="13"/>
        <v>74810.080000000002</v>
      </c>
      <c r="J94" s="7">
        <f t="shared" si="14"/>
        <v>14962.02</v>
      </c>
      <c r="K94" s="8">
        <f t="shared" si="15"/>
        <v>89772.1</v>
      </c>
    </row>
    <row r="95" spans="1:11" ht="18.75" x14ac:dyDescent="0.25">
      <c r="A95" s="6">
        <f t="shared" si="17"/>
        <v>83</v>
      </c>
      <c r="B95" s="6">
        <f t="shared" si="16"/>
        <v>83</v>
      </c>
      <c r="C95" s="10" t="s">
        <v>364</v>
      </c>
      <c r="D95" s="11" t="s">
        <v>493</v>
      </c>
      <c r="E95" s="7">
        <v>1247.3699999999999</v>
      </c>
      <c r="F95" s="7"/>
      <c r="G95" s="7"/>
      <c r="H95" s="8"/>
      <c r="I95" s="7">
        <f t="shared" si="13"/>
        <v>1350.79</v>
      </c>
      <c r="J95" s="7">
        <f t="shared" si="14"/>
        <v>270.16000000000003</v>
      </c>
      <c r="K95" s="8">
        <f t="shared" si="15"/>
        <v>1620.95</v>
      </c>
    </row>
    <row r="96" spans="1:11" ht="18.75" x14ac:dyDescent="0.25">
      <c r="A96" s="6">
        <f t="shared" si="17"/>
        <v>84</v>
      </c>
      <c r="B96" s="6">
        <f t="shared" si="16"/>
        <v>84</v>
      </c>
      <c r="C96" s="10" t="s">
        <v>365</v>
      </c>
      <c r="D96" s="11" t="s">
        <v>493</v>
      </c>
      <c r="E96" s="7">
        <v>1128.56</v>
      </c>
      <c r="F96" s="7"/>
      <c r="G96" s="7"/>
      <c r="H96" s="8"/>
      <c r="I96" s="7">
        <f t="shared" si="13"/>
        <v>1222.1300000000001</v>
      </c>
      <c r="J96" s="7">
        <f t="shared" si="14"/>
        <v>244.43</v>
      </c>
      <c r="K96" s="8">
        <f t="shared" si="15"/>
        <v>1466.56</v>
      </c>
    </row>
    <row r="97" spans="1:11" ht="31.5" x14ac:dyDescent="0.25">
      <c r="A97" s="6">
        <f t="shared" si="17"/>
        <v>85</v>
      </c>
      <c r="B97" s="6">
        <f t="shared" si="16"/>
        <v>85</v>
      </c>
      <c r="C97" s="10" t="s">
        <v>366</v>
      </c>
      <c r="D97" s="11" t="s">
        <v>493</v>
      </c>
      <c r="E97" s="7">
        <v>107923.2</v>
      </c>
      <c r="F97" s="7"/>
      <c r="G97" s="7"/>
      <c r="H97" s="8"/>
      <c r="I97" s="7">
        <f t="shared" si="13"/>
        <v>116871.57</v>
      </c>
      <c r="J97" s="7">
        <f t="shared" si="14"/>
        <v>23374.31</v>
      </c>
      <c r="K97" s="8">
        <f t="shared" si="15"/>
        <v>140245.88</v>
      </c>
    </row>
    <row r="98" spans="1:11" ht="31.5" x14ac:dyDescent="0.25">
      <c r="A98" s="6">
        <f t="shared" si="17"/>
        <v>86</v>
      </c>
      <c r="B98" s="6">
        <f t="shared" si="16"/>
        <v>86</v>
      </c>
      <c r="C98" s="10" t="s">
        <v>367</v>
      </c>
      <c r="D98" s="11" t="s">
        <v>493</v>
      </c>
      <c r="E98" s="7">
        <v>77524.72</v>
      </c>
      <c r="F98" s="7"/>
      <c r="G98" s="7"/>
      <c r="H98" s="8"/>
      <c r="I98" s="7">
        <f t="shared" si="13"/>
        <v>83952.62</v>
      </c>
      <c r="J98" s="7">
        <f t="shared" si="14"/>
        <v>16790.52</v>
      </c>
      <c r="K98" s="8">
        <f t="shared" si="15"/>
        <v>100743.14</v>
      </c>
    </row>
    <row r="99" spans="1:11" ht="18.75" x14ac:dyDescent="0.25">
      <c r="A99" s="6">
        <f t="shared" si="17"/>
        <v>87</v>
      </c>
      <c r="B99" s="6">
        <f t="shared" si="16"/>
        <v>87</v>
      </c>
      <c r="C99" s="10" t="s">
        <v>368</v>
      </c>
      <c r="D99" s="11" t="s">
        <v>493</v>
      </c>
      <c r="E99" s="7">
        <v>297.85000000000002</v>
      </c>
      <c r="F99" s="7"/>
      <c r="G99" s="7"/>
      <c r="H99" s="8"/>
      <c r="I99" s="7">
        <f t="shared" si="13"/>
        <v>322.55</v>
      </c>
      <c r="J99" s="7">
        <f t="shared" si="14"/>
        <v>64.510000000000005</v>
      </c>
      <c r="K99" s="8">
        <f t="shared" si="15"/>
        <v>387.06</v>
      </c>
    </row>
    <row r="100" spans="1:11" ht="31.5" x14ac:dyDescent="0.25">
      <c r="A100" s="6">
        <f t="shared" si="17"/>
        <v>88</v>
      </c>
      <c r="B100" s="6">
        <f t="shared" si="16"/>
        <v>88</v>
      </c>
      <c r="C100" s="10" t="s">
        <v>369</v>
      </c>
      <c r="D100" s="11" t="s">
        <v>495</v>
      </c>
      <c r="E100" s="7">
        <v>2601086.2799999998</v>
      </c>
      <c r="F100" s="7"/>
      <c r="G100" s="7"/>
      <c r="H100" s="8"/>
      <c r="I100" s="7">
        <f t="shared" si="13"/>
        <v>2816753.27</v>
      </c>
      <c r="J100" s="7">
        <f t="shared" si="14"/>
        <v>563350.65</v>
      </c>
      <c r="K100" s="8">
        <f t="shared" si="15"/>
        <v>3380103.92</v>
      </c>
    </row>
    <row r="101" spans="1:11" ht="18.75" x14ac:dyDescent="0.25">
      <c r="A101" s="6">
        <f t="shared" si="17"/>
        <v>89</v>
      </c>
      <c r="B101" s="6">
        <f t="shared" si="16"/>
        <v>89</v>
      </c>
      <c r="C101" s="10" t="s">
        <v>370</v>
      </c>
      <c r="D101" s="11" t="s">
        <v>493</v>
      </c>
      <c r="E101" s="7">
        <v>1823092.63</v>
      </c>
      <c r="F101" s="7"/>
      <c r="G101" s="7"/>
      <c r="H101" s="8"/>
      <c r="I101" s="7">
        <f t="shared" si="13"/>
        <v>1974252.9</v>
      </c>
      <c r="J101" s="7">
        <f t="shared" si="14"/>
        <v>394850.58</v>
      </c>
      <c r="K101" s="8">
        <f t="shared" si="15"/>
        <v>2369103.48</v>
      </c>
    </row>
    <row r="102" spans="1:11" ht="31.5" x14ac:dyDescent="0.25">
      <c r="A102" s="6">
        <f t="shared" si="17"/>
        <v>90</v>
      </c>
      <c r="B102" s="6">
        <f t="shared" si="16"/>
        <v>90</v>
      </c>
      <c r="C102" s="10" t="s">
        <v>371</v>
      </c>
      <c r="D102" s="11" t="s">
        <v>493</v>
      </c>
      <c r="E102" s="7">
        <v>457754.92</v>
      </c>
      <c r="F102" s="7"/>
      <c r="G102" s="7"/>
      <c r="H102" s="8"/>
      <c r="I102" s="7">
        <f t="shared" si="13"/>
        <v>495709.3</v>
      </c>
      <c r="J102" s="7">
        <f t="shared" si="14"/>
        <v>99141.86</v>
      </c>
      <c r="K102" s="8">
        <f t="shared" si="15"/>
        <v>594851.16</v>
      </c>
    </row>
    <row r="103" spans="1:11" ht="47.25" x14ac:dyDescent="0.25">
      <c r="A103" s="6">
        <f t="shared" si="17"/>
        <v>91</v>
      </c>
      <c r="B103" s="6">
        <f t="shared" si="16"/>
        <v>91</v>
      </c>
      <c r="C103" s="10" t="s">
        <v>372</v>
      </c>
      <c r="D103" s="11" t="s">
        <v>493</v>
      </c>
      <c r="E103" s="7">
        <v>24333.03</v>
      </c>
      <c r="F103" s="7"/>
      <c r="G103" s="7"/>
      <c r="H103" s="8"/>
      <c r="I103" s="7">
        <f t="shared" si="13"/>
        <v>26350.58</v>
      </c>
      <c r="J103" s="7">
        <f t="shared" si="14"/>
        <v>5270.12</v>
      </c>
      <c r="K103" s="8">
        <f t="shared" si="15"/>
        <v>31620.7</v>
      </c>
    </row>
    <row r="104" spans="1:11" ht="18.75" x14ac:dyDescent="0.25">
      <c r="A104" s="6">
        <f t="shared" si="17"/>
        <v>92</v>
      </c>
      <c r="B104" s="6">
        <f t="shared" si="16"/>
        <v>92</v>
      </c>
      <c r="C104" s="10" t="s">
        <v>373</v>
      </c>
      <c r="D104" s="11" t="s">
        <v>493</v>
      </c>
      <c r="E104" s="7">
        <v>342445.47</v>
      </c>
      <c r="F104" s="7"/>
      <c r="G104" s="7"/>
      <c r="H104" s="8"/>
      <c r="I104" s="7">
        <f t="shared" si="13"/>
        <v>370839.06</v>
      </c>
      <c r="J104" s="7">
        <f t="shared" si="14"/>
        <v>74167.81</v>
      </c>
      <c r="K104" s="8">
        <f t="shared" si="15"/>
        <v>445006.87</v>
      </c>
    </row>
    <row r="105" spans="1:11" ht="31.5" x14ac:dyDescent="0.25">
      <c r="A105" s="6">
        <f t="shared" si="17"/>
        <v>93</v>
      </c>
      <c r="B105" s="6">
        <f t="shared" si="16"/>
        <v>93</v>
      </c>
      <c r="C105" s="10" t="s">
        <v>374</v>
      </c>
      <c r="D105" s="11" t="s">
        <v>493</v>
      </c>
      <c r="E105" s="7">
        <v>183109.44</v>
      </c>
      <c r="F105" s="7"/>
      <c r="G105" s="7"/>
      <c r="H105" s="8"/>
      <c r="I105" s="7">
        <f t="shared" si="13"/>
        <v>198291.81</v>
      </c>
      <c r="J105" s="7">
        <f t="shared" si="14"/>
        <v>39658.36</v>
      </c>
      <c r="K105" s="8">
        <f t="shared" si="15"/>
        <v>237950.17</v>
      </c>
    </row>
    <row r="106" spans="1:11" ht="47.25" x14ac:dyDescent="0.25">
      <c r="A106" s="6">
        <f t="shared" si="17"/>
        <v>94</v>
      </c>
      <c r="B106" s="6">
        <f t="shared" si="16"/>
        <v>94</v>
      </c>
      <c r="C106" s="10" t="s">
        <v>375</v>
      </c>
      <c r="D106" s="11" t="s">
        <v>493</v>
      </c>
      <c r="E106" s="7">
        <v>197991.75</v>
      </c>
      <c r="F106" s="7"/>
      <c r="G106" s="7"/>
      <c r="H106" s="8"/>
      <c r="I106" s="7">
        <f t="shared" si="13"/>
        <v>214408.08</v>
      </c>
      <c r="J106" s="7">
        <f t="shared" si="14"/>
        <v>42881.62</v>
      </c>
      <c r="K106" s="8">
        <f t="shared" si="15"/>
        <v>257289.7</v>
      </c>
    </row>
    <row r="107" spans="1:11" ht="63" x14ac:dyDescent="0.25">
      <c r="A107" s="6">
        <f t="shared" si="17"/>
        <v>95</v>
      </c>
      <c r="B107" s="6">
        <f>B106+1</f>
        <v>95</v>
      </c>
      <c r="C107" s="10" t="s">
        <v>376</v>
      </c>
      <c r="D107" s="11" t="s">
        <v>493</v>
      </c>
      <c r="E107" s="7">
        <v>2691.89</v>
      </c>
      <c r="F107" s="7"/>
      <c r="G107" s="7"/>
      <c r="H107" s="8"/>
      <c r="I107" s="7">
        <f t="shared" si="13"/>
        <v>2915.09</v>
      </c>
      <c r="J107" s="7">
        <f t="shared" si="14"/>
        <v>583.02</v>
      </c>
      <c r="K107" s="8">
        <f t="shared" si="15"/>
        <v>3498.11</v>
      </c>
    </row>
    <row r="108" spans="1:11" ht="31.5" x14ac:dyDescent="0.25">
      <c r="A108" s="6">
        <f t="shared" ref="A108:B123" si="18">A107+1</f>
        <v>96</v>
      </c>
      <c r="B108" s="6">
        <f t="shared" si="18"/>
        <v>96</v>
      </c>
      <c r="C108" s="10" t="s">
        <v>377</v>
      </c>
      <c r="D108" s="11" t="s">
        <v>493</v>
      </c>
      <c r="E108" s="7">
        <v>550437.5</v>
      </c>
      <c r="F108" s="7"/>
      <c r="G108" s="7"/>
      <c r="H108" s="8"/>
      <c r="I108" s="7">
        <f t="shared" si="13"/>
        <v>596076.57999999996</v>
      </c>
      <c r="J108" s="7">
        <f t="shared" si="14"/>
        <v>119215.32</v>
      </c>
      <c r="K108" s="8">
        <f t="shared" si="15"/>
        <v>715291.9</v>
      </c>
    </row>
    <row r="109" spans="1:11" ht="47.25" x14ac:dyDescent="0.25">
      <c r="A109" s="6">
        <f t="shared" si="18"/>
        <v>97</v>
      </c>
      <c r="B109" s="6">
        <f t="shared" si="18"/>
        <v>97</v>
      </c>
      <c r="C109" s="10" t="s">
        <v>378</v>
      </c>
      <c r="D109" s="11" t="s">
        <v>493</v>
      </c>
      <c r="E109" s="7">
        <v>32466.17</v>
      </c>
      <c r="F109" s="7"/>
      <c r="G109" s="7"/>
      <c r="H109" s="8"/>
      <c r="I109" s="7">
        <f t="shared" si="13"/>
        <v>35158.080000000002</v>
      </c>
      <c r="J109" s="7">
        <f t="shared" si="14"/>
        <v>7031.62</v>
      </c>
      <c r="K109" s="8">
        <f t="shared" si="15"/>
        <v>42189.7</v>
      </c>
    </row>
    <row r="110" spans="1:11" ht="31.5" x14ac:dyDescent="0.25">
      <c r="A110" s="6">
        <f>A109+1</f>
        <v>98</v>
      </c>
      <c r="B110" s="6">
        <f t="shared" si="18"/>
        <v>98</v>
      </c>
      <c r="C110" s="10" t="s">
        <v>379</v>
      </c>
      <c r="D110" s="11" t="s">
        <v>494</v>
      </c>
      <c r="E110" s="7">
        <v>2570.58</v>
      </c>
      <c r="F110" s="7"/>
      <c r="G110" s="7"/>
      <c r="H110" s="8"/>
      <c r="I110" s="7">
        <f t="shared" si="13"/>
        <v>2783.72</v>
      </c>
      <c r="J110" s="7">
        <f t="shared" si="14"/>
        <v>556.74</v>
      </c>
      <c r="K110" s="8">
        <f t="shared" si="15"/>
        <v>3340.46</v>
      </c>
    </row>
    <row r="111" spans="1:11" ht="31.5" x14ac:dyDescent="0.25">
      <c r="A111" s="6">
        <f t="shared" si="18"/>
        <v>99</v>
      </c>
      <c r="B111" s="6">
        <f t="shared" si="18"/>
        <v>99</v>
      </c>
      <c r="C111" s="10" t="s">
        <v>380</v>
      </c>
      <c r="D111" s="11" t="s">
        <v>494</v>
      </c>
      <c r="E111" s="7">
        <v>3445.1</v>
      </c>
      <c r="F111" s="7"/>
      <c r="G111" s="7"/>
      <c r="H111" s="8"/>
      <c r="I111" s="7">
        <f t="shared" si="13"/>
        <v>3730.75</v>
      </c>
      <c r="J111" s="7">
        <f t="shared" si="14"/>
        <v>746.15</v>
      </c>
      <c r="K111" s="8">
        <f t="shared" si="15"/>
        <v>4476.8999999999996</v>
      </c>
    </row>
    <row r="112" spans="1:11" ht="18.75" x14ac:dyDescent="0.25">
      <c r="A112" s="6">
        <f t="shared" si="18"/>
        <v>100</v>
      </c>
      <c r="B112" s="6">
        <f t="shared" si="18"/>
        <v>100</v>
      </c>
      <c r="C112" s="10" t="s">
        <v>381</v>
      </c>
      <c r="D112" s="11" t="s">
        <v>494</v>
      </c>
      <c r="E112" s="7">
        <v>189.42</v>
      </c>
      <c r="F112" s="7"/>
      <c r="G112" s="7"/>
      <c r="H112" s="8"/>
      <c r="I112" s="7">
        <f t="shared" si="13"/>
        <v>205.13</v>
      </c>
      <c r="J112" s="7">
        <f t="shared" si="14"/>
        <v>41.03</v>
      </c>
      <c r="K112" s="8">
        <f t="shared" si="15"/>
        <v>246.16</v>
      </c>
    </row>
    <row r="113" spans="1:11" ht="18.75" x14ac:dyDescent="0.25">
      <c r="A113" s="6">
        <f t="shared" si="18"/>
        <v>101</v>
      </c>
      <c r="B113" s="6">
        <f t="shared" si="18"/>
        <v>101</v>
      </c>
      <c r="C113" s="10" t="s">
        <v>382</v>
      </c>
      <c r="D113" s="11" t="s">
        <v>499</v>
      </c>
      <c r="E113" s="7">
        <v>359.28</v>
      </c>
      <c r="F113" s="7"/>
      <c r="G113" s="7"/>
      <c r="H113" s="8"/>
      <c r="I113" s="7">
        <f t="shared" si="13"/>
        <v>389.07</v>
      </c>
      <c r="J113" s="7">
        <f t="shared" si="14"/>
        <v>77.81</v>
      </c>
      <c r="K113" s="8">
        <f t="shared" si="15"/>
        <v>466.88</v>
      </c>
    </row>
    <row r="114" spans="1:11" ht="18.75" x14ac:dyDescent="0.25">
      <c r="A114" s="6">
        <f t="shared" si="18"/>
        <v>102</v>
      </c>
      <c r="B114" s="6">
        <f>B113+1</f>
        <v>102</v>
      </c>
      <c r="C114" s="10" t="s">
        <v>383</v>
      </c>
      <c r="D114" s="11" t="s">
        <v>499</v>
      </c>
      <c r="E114" s="7">
        <v>373.68</v>
      </c>
      <c r="F114" s="7"/>
      <c r="G114" s="7"/>
      <c r="H114" s="8"/>
      <c r="I114" s="7">
        <f t="shared" si="13"/>
        <v>404.66</v>
      </c>
      <c r="J114" s="7">
        <f t="shared" si="14"/>
        <v>80.930000000000007</v>
      </c>
      <c r="K114" s="8">
        <f t="shared" si="15"/>
        <v>485.59</v>
      </c>
    </row>
    <row r="115" spans="1:11" ht="18.75" x14ac:dyDescent="0.25">
      <c r="A115" s="6">
        <f t="shared" si="18"/>
        <v>103</v>
      </c>
      <c r="B115" s="6">
        <f t="shared" si="18"/>
        <v>103</v>
      </c>
      <c r="C115" s="10" t="s">
        <v>384</v>
      </c>
      <c r="D115" s="11" t="s">
        <v>499</v>
      </c>
      <c r="E115" s="7">
        <v>205.6</v>
      </c>
      <c r="F115" s="7"/>
      <c r="G115" s="7"/>
      <c r="H115" s="8"/>
      <c r="I115" s="7">
        <f t="shared" si="13"/>
        <v>222.65</v>
      </c>
      <c r="J115" s="7">
        <f t="shared" si="14"/>
        <v>44.53</v>
      </c>
      <c r="K115" s="8">
        <f t="shared" si="15"/>
        <v>267.18</v>
      </c>
    </row>
    <row r="116" spans="1:11" ht="18.75" x14ac:dyDescent="0.25">
      <c r="A116" s="6">
        <f t="shared" si="18"/>
        <v>104</v>
      </c>
      <c r="B116" s="6">
        <f t="shared" si="18"/>
        <v>104</v>
      </c>
      <c r="C116" s="10" t="s">
        <v>385</v>
      </c>
      <c r="D116" s="11" t="s">
        <v>494</v>
      </c>
      <c r="E116" s="7">
        <v>6393.14</v>
      </c>
      <c r="F116" s="7"/>
      <c r="G116" s="7"/>
      <c r="H116" s="8"/>
      <c r="I116" s="7">
        <f t="shared" si="13"/>
        <v>6923.22</v>
      </c>
      <c r="J116" s="7">
        <f t="shared" si="14"/>
        <v>1384.64</v>
      </c>
      <c r="K116" s="8">
        <f t="shared" si="15"/>
        <v>8307.86</v>
      </c>
    </row>
    <row r="117" spans="1:11" ht="18.75" x14ac:dyDescent="0.25">
      <c r="A117" s="6">
        <f t="shared" si="18"/>
        <v>105</v>
      </c>
      <c r="B117" s="6">
        <f t="shared" si="18"/>
        <v>105</v>
      </c>
      <c r="C117" s="10" t="s">
        <v>386</v>
      </c>
      <c r="D117" s="11" t="s">
        <v>494</v>
      </c>
      <c r="E117" s="7">
        <v>3022.89</v>
      </c>
      <c r="F117" s="7"/>
      <c r="G117" s="7"/>
      <c r="H117" s="8"/>
      <c r="I117" s="7">
        <f t="shared" si="13"/>
        <v>3273.53</v>
      </c>
      <c r="J117" s="7">
        <f t="shared" si="14"/>
        <v>654.71</v>
      </c>
      <c r="K117" s="8">
        <f t="shared" si="15"/>
        <v>3928.24</v>
      </c>
    </row>
    <row r="118" spans="1:11" ht="18.75" x14ac:dyDescent="0.25">
      <c r="A118" s="6">
        <f>A117+1</f>
        <v>106</v>
      </c>
      <c r="B118" s="6">
        <f t="shared" si="18"/>
        <v>106</v>
      </c>
      <c r="C118" s="10" t="s">
        <v>387</v>
      </c>
      <c r="D118" s="11" t="s">
        <v>499</v>
      </c>
      <c r="E118" s="7">
        <v>202.26</v>
      </c>
      <c r="F118" s="7"/>
      <c r="G118" s="7"/>
      <c r="H118" s="8"/>
      <c r="I118" s="7">
        <f t="shared" si="13"/>
        <v>219.03</v>
      </c>
      <c r="J118" s="7">
        <f t="shared" si="14"/>
        <v>43.81</v>
      </c>
      <c r="K118" s="8">
        <f t="shared" si="15"/>
        <v>262.83999999999997</v>
      </c>
    </row>
    <row r="119" spans="1:11" ht="18.75" x14ac:dyDescent="0.25">
      <c r="A119" s="6">
        <f t="shared" ref="A119:B134" si="19">A118+1</f>
        <v>107</v>
      </c>
      <c r="B119" s="6">
        <f t="shared" si="18"/>
        <v>107</v>
      </c>
      <c r="C119" s="10" t="s">
        <v>388</v>
      </c>
      <c r="D119" s="11" t="s">
        <v>494</v>
      </c>
      <c r="E119" s="7">
        <v>314.38</v>
      </c>
      <c r="F119" s="7"/>
      <c r="G119" s="7"/>
      <c r="H119" s="8"/>
      <c r="I119" s="7">
        <f t="shared" si="13"/>
        <v>340.45</v>
      </c>
      <c r="J119" s="7">
        <f t="shared" si="14"/>
        <v>68.09</v>
      </c>
      <c r="K119" s="8">
        <f t="shared" si="15"/>
        <v>408.54</v>
      </c>
    </row>
    <row r="120" spans="1:11" ht="31.5" x14ac:dyDescent="0.25">
      <c r="A120" s="6">
        <f t="shared" si="19"/>
        <v>108</v>
      </c>
      <c r="B120" s="6">
        <f>B119+1</f>
        <v>108</v>
      </c>
      <c r="C120" s="10" t="s">
        <v>389</v>
      </c>
      <c r="D120" s="11" t="s">
        <v>494</v>
      </c>
      <c r="E120" s="7">
        <v>395.22</v>
      </c>
      <c r="F120" s="7"/>
      <c r="G120" s="7"/>
      <c r="H120" s="8"/>
      <c r="I120" s="7">
        <f t="shared" si="13"/>
        <v>427.99</v>
      </c>
      <c r="J120" s="7">
        <f t="shared" si="14"/>
        <v>85.6</v>
      </c>
      <c r="K120" s="8">
        <f t="shared" si="15"/>
        <v>513.59</v>
      </c>
    </row>
    <row r="121" spans="1:11" ht="18.75" x14ac:dyDescent="0.25">
      <c r="A121" s="6">
        <f t="shared" si="19"/>
        <v>109</v>
      </c>
      <c r="B121" s="6">
        <f t="shared" si="18"/>
        <v>109</v>
      </c>
      <c r="C121" s="12" t="s">
        <v>390</v>
      </c>
      <c r="D121" s="11" t="s">
        <v>499</v>
      </c>
      <c r="E121" s="7">
        <v>956.62</v>
      </c>
      <c r="F121" s="7"/>
      <c r="G121" s="7"/>
      <c r="H121" s="8"/>
      <c r="I121" s="7">
        <f t="shared" si="13"/>
        <v>1035.94</v>
      </c>
      <c r="J121" s="7">
        <f t="shared" si="14"/>
        <v>207.19</v>
      </c>
      <c r="K121" s="8">
        <f t="shared" si="15"/>
        <v>1243.1300000000001</v>
      </c>
    </row>
    <row r="122" spans="1:11" ht="31.5" x14ac:dyDescent="0.25">
      <c r="A122" s="6">
        <f t="shared" si="19"/>
        <v>110</v>
      </c>
      <c r="B122" s="6">
        <f t="shared" si="18"/>
        <v>110</v>
      </c>
      <c r="C122" s="12" t="s">
        <v>391</v>
      </c>
      <c r="D122" s="11" t="s">
        <v>493</v>
      </c>
      <c r="E122" s="7">
        <v>8083.88</v>
      </c>
      <c r="F122" s="7"/>
      <c r="G122" s="7"/>
      <c r="H122" s="8"/>
      <c r="I122" s="7">
        <f t="shared" si="13"/>
        <v>8754.15</v>
      </c>
      <c r="J122" s="7">
        <f t="shared" si="14"/>
        <v>1750.83</v>
      </c>
      <c r="K122" s="8">
        <f t="shared" si="15"/>
        <v>10504.98</v>
      </c>
    </row>
    <row r="123" spans="1:11" ht="31.5" x14ac:dyDescent="0.25">
      <c r="A123" s="6">
        <f t="shared" si="19"/>
        <v>111</v>
      </c>
      <c r="B123" s="6">
        <f t="shared" si="18"/>
        <v>111</v>
      </c>
      <c r="C123" s="12" t="s">
        <v>392</v>
      </c>
      <c r="D123" s="11" t="s">
        <v>499</v>
      </c>
      <c r="E123" s="7">
        <v>329.64</v>
      </c>
      <c r="F123" s="7"/>
      <c r="G123" s="7"/>
      <c r="H123" s="8"/>
      <c r="I123" s="7">
        <f t="shared" si="13"/>
        <v>356.97</v>
      </c>
      <c r="J123" s="7">
        <f t="shared" si="14"/>
        <v>71.39</v>
      </c>
      <c r="K123" s="8">
        <f t="shared" si="15"/>
        <v>428.36</v>
      </c>
    </row>
    <row r="124" spans="1:11" ht="18.75" x14ac:dyDescent="0.25">
      <c r="A124" s="6">
        <f t="shared" si="19"/>
        <v>112</v>
      </c>
      <c r="B124" s="6">
        <f t="shared" si="19"/>
        <v>112</v>
      </c>
      <c r="C124" s="12" t="s">
        <v>393</v>
      </c>
      <c r="D124" s="11" t="s">
        <v>494</v>
      </c>
      <c r="E124" s="7">
        <v>451.44</v>
      </c>
      <c r="F124" s="7"/>
      <c r="G124" s="7"/>
      <c r="H124" s="8"/>
      <c r="I124" s="7">
        <f t="shared" si="13"/>
        <v>488.87</v>
      </c>
      <c r="J124" s="7">
        <f t="shared" si="14"/>
        <v>97.77</v>
      </c>
      <c r="K124" s="8">
        <f t="shared" si="15"/>
        <v>586.64</v>
      </c>
    </row>
    <row r="125" spans="1:11" ht="31.5" x14ac:dyDescent="0.25">
      <c r="A125" s="6">
        <f>A124+1</f>
        <v>113</v>
      </c>
      <c r="B125" s="6">
        <f>B124+1</f>
        <v>113</v>
      </c>
      <c r="C125" s="10" t="s">
        <v>394</v>
      </c>
      <c r="D125" s="11" t="s">
        <v>499</v>
      </c>
      <c r="E125" s="7">
        <v>20869.060000000001</v>
      </c>
      <c r="F125" s="7"/>
      <c r="G125" s="7"/>
      <c r="H125" s="8"/>
      <c r="I125" s="7">
        <f t="shared" si="13"/>
        <v>22599.4</v>
      </c>
      <c r="J125" s="7">
        <f t="shared" si="14"/>
        <v>4519.88</v>
      </c>
      <c r="K125" s="8">
        <f t="shared" si="15"/>
        <v>27119.279999999999</v>
      </c>
    </row>
    <row r="126" spans="1:11" ht="31.5" x14ac:dyDescent="0.25">
      <c r="A126" s="6">
        <f t="shared" si="19"/>
        <v>114</v>
      </c>
      <c r="B126" s="6">
        <f t="shared" si="19"/>
        <v>114</v>
      </c>
      <c r="C126" s="10" t="s">
        <v>395</v>
      </c>
      <c r="D126" s="11" t="s">
        <v>499</v>
      </c>
      <c r="E126" s="7">
        <v>49436.94</v>
      </c>
      <c r="F126" s="7"/>
      <c r="G126" s="7"/>
      <c r="H126" s="8"/>
      <c r="I126" s="7">
        <f t="shared" si="13"/>
        <v>53535.96</v>
      </c>
      <c r="J126" s="7">
        <f t="shared" si="14"/>
        <v>10707.19</v>
      </c>
      <c r="K126" s="8">
        <f t="shared" si="15"/>
        <v>64243.15</v>
      </c>
    </row>
    <row r="127" spans="1:11" ht="31.5" x14ac:dyDescent="0.25">
      <c r="A127" s="6">
        <f t="shared" si="19"/>
        <v>115</v>
      </c>
      <c r="B127" s="6">
        <f t="shared" si="19"/>
        <v>115</v>
      </c>
      <c r="C127" s="10" t="s">
        <v>396</v>
      </c>
      <c r="D127" s="11" t="s">
        <v>499</v>
      </c>
      <c r="E127" s="7">
        <v>83324.55</v>
      </c>
      <c r="F127" s="7"/>
      <c r="G127" s="7"/>
      <c r="H127" s="8"/>
      <c r="I127" s="7">
        <f t="shared" si="13"/>
        <v>90233.34</v>
      </c>
      <c r="J127" s="7">
        <f t="shared" si="14"/>
        <v>18046.669999999998</v>
      </c>
      <c r="K127" s="8">
        <f t="shared" si="15"/>
        <v>108280.01</v>
      </c>
    </row>
    <row r="128" spans="1:11" ht="18.75" x14ac:dyDescent="0.25">
      <c r="A128" s="6">
        <f t="shared" si="19"/>
        <v>116</v>
      </c>
      <c r="B128" s="6">
        <f t="shared" si="19"/>
        <v>116</v>
      </c>
      <c r="C128" s="10" t="s">
        <v>397</v>
      </c>
      <c r="D128" s="11" t="s">
        <v>496</v>
      </c>
      <c r="E128" s="7">
        <v>18264.830000000002</v>
      </c>
      <c r="F128" s="7"/>
      <c r="G128" s="7"/>
      <c r="H128" s="8"/>
      <c r="I128" s="7">
        <f t="shared" si="13"/>
        <v>19779.240000000002</v>
      </c>
      <c r="J128" s="7">
        <f t="shared" si="14"/>
        <v>3955.85</v>
      </c>
      <c r="K128" s="8">
        <f t="shared" si="15"/>
        <v>23735.09</v>
      </c>
    </row>
    <row r="129" spans="1:11" ht="18.75" x14ac:dyDescent="0.25">
      <c r="A129" s="6">
        <f t="shared" si="19"/>
        <v>117</v>
      </c>
      <c r="B129" s="6">
        <f t="shared" si="19"/>
        <v>117</v>
      </c>
      <c r="C129" s="10" t="s">
        <v>398</v>
      </c>
      <c r="D129" s="11" t="s">
        <v>496</v>
      </c>
      <c r="E129" s="7">
        <v>80803.03</v>
      </c>
      <c r="F129" s="7"/>
      <c r="G129" s="7"/>
      <c r="H129" s="8"/>
      <c r="I129" s="7">
        <f t="shared" si="13"/>
        <v>87502.75</v>
      </c>
      <c r="J129" s="7">
        <f t="shared" si="14"/>
        <v>17500.55</v>
      </c>
      <c r="K129" s="8">
        <f t="shared" si="15"/>
        <v>105003.3</v>
      </c>
    </row>
    <row r="130" spans="1:11" ht="18.75" x14ac:dyDescent="0.25">
      <c r="A130" s="6">
        <f t="shared" si="19"/>
        <v>118</v>
      </c>
      <c r="B130" s="6">
        <f t="shared" si="19"/>
        <v>118</v>
      </c>
      <c r="C130" s="10" t="s">
        <v>399</v>
      </c>
      <c r="D130" s="11" t="s">
        <v>496</v>
      </c>
      <c r="E130" s="7">
        <v>54555.91</v>
      </c>
      <c r="F130" s="7"/>
      <c r="G130" s="7"/>
      <c r="H130" s="8"/>
      <c r="I130" s="7">
        <f t="shared" si="13"/>
        <v>59079.37</v>
      </c>
      <c r="J130" s="7">
        <f t="shared" si="14"/>
        <v>11815.87</v>
      </c>
      <c r="K130" s="8">
        <f t="shared" si="15"/>
        <v>70895.240000000005</v>
      </c>
    </row>
    <row r="131" spans="1:11" ht="18.75" x14ac:dyDescent="0.25">
      <c r="A131" s="6">
        <f t="shared" si="19"/>
        <v>119</v>
      </c>
      <c r="B131" s="6">
        <f t="shared" si="19"/>
        <v>119</v>
      </c>
      <c r="C131" s="10" t="s">
        <v>400</v>
      </c>
      <c r="D131" s="11" t="s">
        <v>496</v>
      </c>
      <c r="E131" s="7">
        <v>59579.58</v>
      </c>
      <c r="F131" s="7"/>
      <c r="G131" s="7"/>
      <c r="H131" s="8"/>
      <c r="I131" s="7">
        <f t="shared" si="13"/>
        <v>64519.57</v>
      </c>
      <c r="J131" s="7">
        <f t="shared" si="14"/>
        <v>12903.91</v>
      </c>
      <c r="K131" s="8">
        <f t="shared" si="15"/>
        <v>77423.48</v>
      </c>
    </row>
    <row r="132" spans="1:11" ht="31.5" x14ac:dyDescent="0.25">
      <c r="A132" s="6">
        <f>A131+1</f>
        <v>120</v>
      </c>
      <c r="B132" s="6">
        <f>B131+1</f>
        <v>120</v>
      </c>
      <c r="C132" s="10" t="s">
        <v>401</v>
      </c>
      <c r="D132" s="11" t="s">
        <v>499</v>
      </c>
      <c r="E132" s="7">
        <v>119018.11</v>
      </c>
      <c r="F132" s="7"/>
      <c r="G132" s="7"/>
      <c r="H132" s="8"/>
      <c r="I132" s="7">
        <f t="shared" si="13"/>
        <v>128886.39999999999</v>
      </c>
      <c r="J132" s="7">
        <f t="shared" si="14"/>
        <v>25777.279999999999</v>
      </c>
      <c r="K132" s="8">
        <f t="shared" si="15"/>
        <v>154663.67999999999</v>
      </c>
    </row>
    <row r="133" spans="1:11" ht="31.5" x14ac:dyDescent="0.25">
      <c r="A133" s="6">
        <f t="shared" si="19"/>
        <v>121</v>
      </c>
      <c r="B133" s="6">
        <f>B132+1</f>
        <v>121</v>
      </c>
      <c r="C133" s="10" t="s">
        <v>402</v>
      </c>
      <c r="D133" s="11" t="s">
        <v>496</v>
      </c>
      <c r="E133" s="7">
        <v>20846.97</v>
      </c>
      <c r="F133" s="7"/>
      <c r="G133" s="7"/>
      <c r="H133" s="8"/>
      <c r="I133" s="7">
        <f t="shared" si="13"/>
        <v>22575.48</v>
      </c>
      <c r="J133" s="7">
        <f t="shared" si="14"/>
        <v>4515.1000000000004</v>
      </c>
      <c r="K133" s="8">
        <f t="shared" si="15"/>
        <v>27090.58</v>
      </c>
    </row>
    <row r="134" spans="1:11" ht="18.75" x14ac:dyDescent="0.25">
      <c r="A134" s="6">
        <f t="shared" si="19"/>
        <v>122</v>
      </c>
      <c r="B134" s="6">
        <f t="shared" si="19"/>
        <v>122</v>
      </c>
      <c r="C134" s="10" t="s">
        <v>403</v>
      </c>
      <c r="D134" s="11" t="s">
        <v>502</v>
      </c>
      <c r="E134" s="7">
        <v>136112.15</v>
      </c>
      <c r="F134" s="7"/>
      <c r="G134" s="7"/>
      <c r="H134" s="8"/>
      <c r="I134" s="7">
        <f t="shared" si="13"/>
        <v>147397.78</v>
      </c>
      <c r="J134" s="7">
        <f t="shared" si="14"/>
        <v>29479.56</v>
      </c>
      <c r="K134" s="8">
        <f t="shared" si="15"/>
        <v>176877.34</v>
      </c>
    </row>
    <row r="135" spans="1:11" ht="31.5" x14ac:dyDescent="0.25">
      <c r="A135" s="6">
        <f t="shared" ref="A135:B144" si="20">A134+1</f>
        <v>123</v>
      </c>
      <c r="B135" s="6">
        <f t="shared" si="20"/>
        <v>123</v>
      </c>
      <c r="C135" s="10" t="s">
        <v>404</v>
      </c>
      <c r="D135" s="11" t="s">
        <v>496</v>
      </c>
      <c r="E135" s="7">
        <v>6528.42</v>
      </c>
      <c r="F135" s="7"/>
      <c r="G135" s="7"/>
      <c r="H135" s="8"/>
      <c r="I135" s="7">
        <f t="shared" si="13"/>
        <v>7069.72</v>
      </c>
      <c r="J135" s="7">
        <f t="shared" si="14"/>
        <v>1413.94</v>
      </c>
      <c r="K135" s="8">
        <f t="shared" si="15"/>
        <v>8483.66</v>
      </c>
    </row>
    <row r="136" spans="1:11" ht="31.5" x14ac:dyDescent="0.25">
      <c r="A136" s="6">
        <f t="shared" si="20"/>
        <v>124</v>
      </c>
      <c r="B136" s="6">
        <f t="shared" si="20"/>
        <v>124</v>
      </c>
      <c r="C136" s="10" t="s">
        <v>405</v>
      </c>
      <c r="D136" s="11" t="s">
        <v>496</v>
      </c>
      <c r="E136" s="7">
        <v>33877.21</v>
      </c>
      <c r="F136" s="7"/>
      <c r="G136" s="7"/>
      <c r="H136" s="8"/>
      <c r="I136" s="7">
        <f t="shared" si="13"/>
        <v>36686.11</v>
      </c>
      <c r="J136" s="7">
        <f t="shared" si="14"/>
        <v>7337.22</v>
      </c>
      <c r="K136" s="8">
        <f t="shared" si="15"/>
        <v>44023.33</v>
      </c>
    </row>
    <row r="137" spans="1:11" ht="18.75" x14ac:dyDescent="0.25">
      <c r="A137" s="6">
        <f>A136+1</f>
        <v>125</v>
      </c>
      <c r="B137" s="6">
        <f>B136+1</f>
        <v>125</v>
      </c>
      <c r="C137" s="10" t="s">
        <v>406</v>
      </c>
      <c r="D137" s="11" t="s">
        <v>496</v>
      </c>
      <c r="E137" s="7">
        <v>7871.51</v>
      </c>
      <c r="F137" s="7"/>
      <c r="G137" s="7"/>
      <c r="H137" s="8"/>
      <c r="I137" s="7">
        <f t="shared" si="13"/>
        <v>8524.17</v>
      </c>
      <c r="J137" s="7">
        <f t="shared" si="14"/>
        <v>1704.83</v>
      </c>
      <c r="K137" s="8">
        <f t="shared" si="15"/>
        <v>10229</v>
      </c>
    </row>
    <row r="138" spans="1:11" ht="31.5" x14ac:dyDescent="0.25">
      <c r="A138" s="6">
        <f t="shared" si="20"/>
        <v>126</v>
      </c>
      <c r="B138" s="6">
        <f>B137+1</f>
        <v>126</v>
      </c>
      <c r="C138" s="10" t="s">
        <v>407</v>
      </c>
      <c r="D138" s="11" t="s">
        <v>496</v>
      </c>
      <c r="E138" s="7">
        <v>15863.43</v>
      </c>
      <c r="F138" s="7"/>
      <c r="G138" s="7"/>
      <c r="H138" s="8"/>
      <c r="I138" s="7">
        <f t="shared" si="13"/>
        <v>17178.73</v>
      </c>
      <c r="J138" s="7">
        <f t="shared" si="14"/>
        <v>3435.75</v>
      </c>
      <c r="K138" s="8">
        <f t="shared" si="15"/>
        <v>20614.48</v>
      </c>
    </row>
    <row r="139" spans="1:11" ht="31.5" x14ac:dyDescent="0.25">
      <c r="A139" s="6">
        <f t="shared" si="20"/>
        <v>127</v>
      </c>
      <c r="B139" s="6">
        <f t="shared" si="20"/>
        <v>127</v>
      </c>
      <c r="C139" s="12" t="s">
        <v>408</v>
      </c>
      <c r="D139" s="11" t="s">
        <v>493</v>
      </c>
      <c r="E139" s="7">
        <v>14065.4</v>
      </c>
      <c r="F139" s="7"/>
      <c r="G139" s="7"/>
      <c r="H139" s="8"/>
      <c r="I139" s="7">
        <f t="shared" si="13"/>
        <v>15231.62</v>
      </c>
      <c r="J139" s="7">
        <f t="shared" si="14"/>
        <v>3046.32</v>
      </c>
      <c r="K139" s="8">
        <f t="shared" si="15"/>
        <v>18277.939999999999</v>
      </c>
    </row>
    <row r="140" spans="1:11" ht="31.5" x14ac:dyDescent="0.25">
      <c r="A140" s="6">
        <f t="shared" si="20"/>
        <v>128</v>
      </c>
      <c r="B140" s="6">
        <f t="shared" si="20"/>
        <v>128</v>
      </c>
      <c r="C140" s="12" t="s">
        <v>409</v>
      </c>
      <c r="D140" s="11" t="s">
        <v>494</v>
      </c>
      <c r="E140" s="7">
        <v>2376.21</v>
      </c>
      <c r="F140" s="7"/>
      <c r="G140" s="7"/>
      <c r="H140" s="8"/>
      <c r="I140" s="7">
        <f t="shared" si="13"/>
        <v>2573.23</v>
      </c>
      <c r="J140" s="7">
        <f t="shared" si="14"/>
        <v>514.65</v>
      </c>
      <c r="K140" s="8">
        <f t="shared" si="15"/>
        <v>3087.88</v>
      </c>
    </row>
    <row r="141" spans="1:11" ht="31.5" x14ac:dyDescent="0.25">
      <c r="A141" s="6">
        <f t="shared" si="20"/>
        <v>129</v>
      </c>
      <c r="B141" s="6">
        <f t="shared" si="20"/>
        <v>129</v>
      </c>
      <c r="C141" s="12" t="s">
        <v>410</v>
      </c>
      <c r="D141" s="11" t="s">
        <v>503</v>
      </c>
      <c r="E141" s="7">
        <v>106957.75</v>
      </c>
      <c r="F141" s="7"/>
      <c r="G141" s="7"/>
      <c r="H141" s="8"/>
      <c r="I141" s="7">
        <f t="shared" si="13"/>
        <v>115826.07</v>
      </c>
      <c r="J141" s="7">
        <f t="shared" si="14"/>
        <v>23165.21</v>
      </c>
      <c r="K141" s="8">
        <f t="shared" si="15"/>
        <v>138991.28</v>
      </c>
    </row>
    <row r="142" spans="1:11" ht="31.5" x14ac:dyDescent="0.25">
      <c r="A142" s="6">
        <f t="shared" si="20"/>
        <v>130</v>
      </c>
      <c r="B142" s="6">
        <f t="shared" si="20"/>
        <v>130</v>
      </c>
      <c r="C142" s="12" t="s">
        <v>411</v>
      </c>
      <c r="D142" s="11" t="s">
        <v>496</v>
      </c>
      <c r="E142" s="7">
        <v>8705.43</v>
      </c>
      <c r="F142" s="7"/>
      <c r="G142" s="7"/>
      <c r="H142" s="8"/>
      <c r="I142" s="7">
        <f t="shared" ref="I142:I203" si="21">E142*1.0083*1.074</f>
        <v>9427.23</v>
      </c>
      <c r="J142" s="7">
        <f t="shared" si="14"/>
        <v>1885.45</v>
      </c>
      <c r="K142" s="8">
        <f t="shared" si="15"/>
        <v>11312.68</v>
      </c>
    </row>
    <row r="143" spans="1:11" ht="18.75" x14ac:dyDescent="0.25">
      <c r="A143" s="6">
        <f t="shared" si="20"/>
        <v>131</v>
      </c>
      <c r="B143" s="6">
        <f t="shared" si="20"/>
        <v>131</v>
      </c>
      <c r="C143" s="12" t="s">
        <v>412</v>
      </c>
      <c r="D143" s="11" t="s">
        <v>494</v>
      </c>
      <c r="E143" s="7">
        <v>3026.98</v>
      </c>
      <c r="F143" s="7"/>
      <c r="G143" s="7"/>
      <c r="H143" s="8"/>
      <c r="I143" s="7">
        <f t="shared" si="21"/>
        <v>3277.96</v>
      </c>
      <c r="J143" s="7">
        <f t="shared" ref="J143:J204" si="22">I143*0.2</f>
        <v>655.59</v>
      </c>
      <c r="K143" s="8">
        <f t="shared" ref="K143:K204" si="23">I143+J143</f>
        <v>3933.55</v>
      </c>
    </row>
    <row r="144" spans="1:11" ht="31.5" x14ac:dyDescent="0.25">
      <c r="A144" s="6">
        <f t="shared" ref="A144:A149" si="24">A143+1</f>
        <v>132</v>
      </c>
      <c r="B144" s="6">
        <f t="shared" si="20"/>
        <v>132</v>
      </c>
      <c r="C144" s="12" t="s">
        <v>413</v>
      </c>
      <c r="D144" s="11" t="s">
        <v>496</v>
      </c>
      <c r="E144" s="7">
        <v>73227.08</v>
      </c>
      <c r="F144" s="7"/>
      <c r="G144" s="7"/>
      <c r="H144" s="8"/>
      <c r="I144" s="7">
        <f t="shared" si="21"/>
        <v>79298.64</v>
      </c>
      <c r="J144" s="7">
        <f t="shared" si="22"/>
        <v>15859.73</v>
      </c>
      <c r="K144" s="8">
        <f t="shared" si="23"/>
        <v>95158.37</v>
      </c>
    </row>
    <row r="145" spans="1:11" ht="18.75" x14ac:dyDescent="0.25">
      <c r="A145" s="6">
        <f t="shared" si="24"/>
        <v>133</v>
      </c>
      <c r="B145" s="6">
        <f t="shared" ref="B145:B150" si="25">B144+1</f>
        <v>133</v>
      </c>
      <c r="C145" s="12" t="s">
        <v>414</v>
      </c>
      <c r="D145" s="11" t="s">
        <v>494</v>
      </c>
      <c r="E145" s="7">
        <v>10368.370000000001</v>
      </c>
      <c r="F145" s="7"/>
      <c r="G145" s="7"/>
      <c r="H145" s="8"/>
      <c r="I145" s="7">
        <f t="shared" si="21"/>
        <v>11228.06</v>
      </c>
      <c r="J145" s="7">
        <f t="shared" si="22"/>
        <v>2245.61</v>
      </c>
      <c r="K145" s="8">
        <f t="shared" si="23"/>
        <v>13473.67</v>
      </c>
    </row>
    <row r="146" spans="1:11" ht="18.75" x14ac:dyDescent="0.25">
      <c r="A146" s="6">
        <f t="shared" si="24"/>
        <v>134</v>
      </c>
      <c r="B146" s="6">
        <f t="shared" si="25"/>
        <v>134</v>
      </c>
      <c r="C146" s="10" t="s">
        <v>415</v>
      </c>
      <c r="D146" s="11" t="s">
        <v>503</v>
      </c>
      <c r="E146" s="7">
        <v>44453.93</v>
      </c>
      <c r="F146" s="7"/>
      <c r="G146" s="7"/>
      <c r="H146" s="8"/>
      <c r="I146" s="7">
        <f t="shared" si="21"/>
        <v>48139.79</v>
      </c>
      <c r="J146" s="7">
        <f t="shared" si="22"/>
        <v>9627.9599999999991</v>
      </c>
      <c r="K146" s="8">
        <f t="shared" si="23"/>
        <v>57767.75</v>
      </c>
    </row>
    <row r="147" spans="1:11" ht="18.75" x14ac:dyDescent="0.25">
      <c r="A147" s="6">
        <f t="shared" si="24"/>
        <v>135</v>
      </c>
      <c r="B147" s="6">
        <f t="shared" si="25"/>
        <v>135</v>
      </c>
      <c r="C147" s="12" t="s">
        <v>416</v>
      </c>
      <c r="D147" s="11" t="s">
        <v>503</v>
      </c>
      <c r="E147" s="7">
        <v>34516.74</v>
      </c>
      <c r="F147" s="7"/>
      <c r="G147" s="7"/>
      <c r="H147" s="8"/>
      <c r="I147" s="7">
        <f t="shared" si="21"/>
        <v>37378.67</v>
      </c>
      <c r="J147" s="7">
        <f t="shared" si="22"/>
        <v>7475.73</v>
      </c>
      <c r="K147" s="8">
        <f t="shared" si="23"/>
        <v>44854.400000000001</v>
      </c>
    </row>
    <row r="148" spans="1:11" ht="18.75" x14ac:dyDescent="0.25">
      <c r="A148" s="6">
        <f t="shared" si="24"/>
        <v>136</v>
      </c>
      <c r="B148" s="6">
        <f t="shared" si="25"/>
        <v>136</v>
      </c>
      <c r="C148" s="10" t="s">
        <v>417</v>
      </c>
      <c r="D148" s="11" t="s">
        <v>503</v>
      </c>
      <c r="E148" s="7">
        <v>91555.64</v>
      </c>
      <c r="F148" s="7"/>
      <c r="G148" s="7"/>
      <c r="H148" s="8"/>
      <c r="I148" s="7">
        <f t="shared" si="21"/>
        <v>99146.9</v>
      </c>
      <c r="J148" s="7">
        <f t="shared" si="22"/>
        <v>19829.38</v>
      </c>
      <c r="K148" s="8">
        <f t="shared" si="23"/>
        <v>118976.28</v>
      </c>
    </row>
    <row r="149" spans="1:11" ht="31.5" x14ac:dyDescent="0.25">
      <c r="A149" s="6">
        <f t="shared" si="24"/>
        <v>137</v>
      </c>
      <c r="B149" s="6">
        <f t="shared" si="25"/>
        <v>137</v>
      </c>
      <c r="C149" s="12" t="s">
        <v>418</v>
      </c>
      <c r="D149" s="11" t="s">
        <v>503</v>
      </c>
      <c r="E149" s="7">
        <v>100876.72</v>
      </c>
      <c r="F149" s="7"/>
      <c r="G149" s="7"/>
      <c r="H149" s="8"/>
      <c r="I149" s="7">
        <f t="shared" si="21"/>
        <v>109240.83</v>
      </c>
      <c r="J149" s="7">
        <f t="shared" si="22"/>
        <v>21848.17</v>
      </c>
      <c r="K149" s="8">
        <f t="shared" si="23"/>
        <v>131089</v>
      </c>
    </row>
    <row r="150" spans="1:11" ht="18.75" x14ac:dyDescent="0.25">
      <c r="A150" s="6">
        <f t="shared" ref="A150:B165" si="26">A149+1</f>
        <v>138</v>
      </c>
      <c r="B150" s="6">
        <f t="shared" si="25"/>
        <v>138</v>
      </c>
      <c r="C150" s="10" t="s">
        <v>419</v>
      </c>
      <c r="D150" s="11" t="s">
        <v>503</v>
      </c>
      <c r="E150" s="7">
        <v>45645.32</v>
      </c>
      <c r="F150" s="7"/>
      <c r="G150" s="7"/>
      <c r="H150" s="8"/>
      <c r="I150" s="7">
        <f t="shared" si="21"/>
        <v>49429.97</v>
      </c>
      <c r="J150" s="7">
        <f t="shared" si="22"/>
        <v>9885.99</v>
      </c>
      <c r="K150" s="8">
        <f t="shared" si="23"/>
        <v>59315.96</v>
      </c>
    </row>
    <row r="151" spans="1:11" ht="31.5" x14ac:dyDescent="0.25">
      <c r="A151" s="6">
        <f t="shared" si="26"/>
        <v>139</v>
      </c>
      <c r="B151" s="6">
        <f t="shared" si="26"/>
        <v>139</v>
      </c>
      <c r="C151" s="12" t="s">
        <v>420</v>
      </c>
      <c r="D151" s="11" t="s">
        <v>503</v>
      </c>
      <c r="E151" s="7">
        <v>56448.95</v>
      </c>
      <c r="F151" s="7"/>
      <c r="G151" s="7"/>
      <c r="H151" s="8"/>
      <c r="I151" s="7">
        <f t="shared" si="21"/>
        <v>61129.37</v>
      </c>
      <c r="J151" s="7">
        <f t="shared" si="22"/>
        <v>12225.87</v>
      </c>
      <c r="K151" s="8">
        <f t="shared" si="23"/>
        <v>73355.240000000005</v>
      </c>
    </row>
    <row r="152" spans="1:11" ht="18.75" x14ac:dyDescent="0.25">
      <c r="A152" s="6">
        <f t="shared" si="26"/>
        <v>140</v>
      </c>
      <c r="B152" s="6">
        <f t="shared" si="26"/>
        <v>140</v>
      </c>
      <c r="C152" s="10" t="s">
        <v>421</v>
      </c>
      <c r="D152" s="11" t="s">
        <v>503</v>
      </c>
      <c r="E152" s="7">
        <v>69489.89</v>
      </c>
      <c r="F152" s="7"/>
      <c r="G152" s="7"/>
      <c r="H152" s="8"/>
      <c r="I152" s="7">
        <f t="shared" si="21"/>
        <v>75251.59</v>
      </c>
      <c r="J152" s="7">
        <f t="shared" si="22"/>
        <v>15050.32</v>
      </c>
      <c r="K152" s="8">
        <f t="shared" si="23"/>
        <v>90301.91</v>
      </c>
    </row>
    <row r="153" spans="1:11" ht="18.75" x14ac:dyDescent="0.25">
      <c r="A153" s="6">
        <f t="shared" ref="A153:A168" si="27">A152+1</f>
        <v>141</v>
      </c>
      <c r="B153" s="6">
        <f t="shared" si="26"/>
        <v>141</v>
      </c>
      <c r="C153" s="10" t="s">
        <v>422</v>
      </c>
      <c r="D153" s="11" t="s">
        <v>503</v>
      </c>
      <c r="E153" s="7">
        <v>86763.79</v>
      </c>
      <c r="F153" s="7"/>
      <c r="G153" s="7"/>
      <c r="H153" s="8"/>
      <c r="I153" s="7">
        <f t="shared" si="21"/>
        <v>93957.74</v>
      </c>
      <c r="J153" s="7">
        <f t="shared" si="22"/>
        <v>18791.55</v>
      </c>
      <c r="K153" s="8">
        <f t="shared" si="23"/>
        <v>112749.29</v>
      </c>
    </row>
    <row r="154" spans="1:11" ht="18.75" x14ac:dyDescent="0.25">
      <c r="A154" s="6">
        <f t="shared" si="27"/>
        <v>142</v>
      </c>
      <c r="B154" s="6">
        <f t="shared" si="26"/>
        <v>142</v>
      </c>
      <c r="C154" s="10" t="s">
        <v>423</v>
      </c>
      <c r="D154" s="11" t="s">
        <v>503</v>
      </c>
      <c r="E154" s="7">
        <v>417308.22</v>
      </c>
      <c r="F154" s="7"/>
      <c r="G154" s="7"/>
      <c r="H154" s="8"/>
      <c r="I154" s="7">
        <f t="shared" si="21"/>
        <v>451909</v>
      </c>
      <c r="J154" s="7">
        <f t="shared" si="22"/>
        <v>90381.8</v>
      </c>
      <c r="K154" s="8">
        <f t="shared" si="23"/>
        <v>542290.80000000005</v>
      </c>
    </row>
    <row r="155" spans="1:11" ht="18.75" x14ac:dyDescent="0.25">
      <c r="A155" s="6">
        <f t="shared" si="27"/>
        <v>143</v>
      </c>
      <c r="B155" s="6">
        <f t="shared" si="26"/>
        <v>143</v>
      </c>
      <c r="C155" s="10" t="s">
        <v>424</v>
      </c>
      <c r="D155" s="11" t="s">
        <v>503</v>
      </c>
      <c r="E155" s="7">
        <v>36203.22</v>
      </c>
      <c r="F155" s="7"/>
      <c r="G155" s="7"/>
      <c r="H155" s="8"/>
      <c r="I155" s="7">
        <f t="shared" si="21"/>
        <v>39204.980000000003</v>
      </c>
      <c r="J155" s="7">
        <f t="shared" si="22"/>
        <v>7841</v>
      </c>
      <c r="K155" s="8">
        <f t="shared" si="23"/>
        <v>47045.98</v>
      </c>
    </row>
    <row r="156" spans="1:11" ht="18.75" x14ac:dyDescent="0.25">
      <c r="A156" s="6">
        <f t="shared" si="27"/>
        <v>144</v>
      </c>
      <c r="B156" s="6">
        <f t="shared" si="26"/>
        <v>144</v>
      </c>
      <c r="C156" s="10" t="s">
        <v>425</v>
      </c>
      <c r="D156" s="11" t="s">
        <v>503</v>
      </c>
      <c r="E156" s="7">
        <v>389966.55</v>
      </c>
      <c r="F156" s="7"/>
      <c r="G156" s="7"/>
      <c r="H156" s="8"/>
      <c r="I156" s="7">
        <f t="shared" si="21"/>
        <v>422300.31</v>
      </c>
      <c r="J156" s="7">
        <f t="shared" si="22"/>
        <v>84460.06</v>
      </c>
      <c r="K156" s="8">
        <f t="shared" si="23"/>
        <v>506760.37</v>
      </c>
    </row>
    <row r="157" spans="1:11" ht="31.5" x14ac:dyDescent="0.25">
      <c r="A157" s="6">
        <f t="shared" si="27"/>
        <v>145</v>
      </c>
      <c r="B157" s="6">
        <f t="shared" si="26"/>
        <v>145</v>
      </c>
      <c r="C157" s="10" t="s">
        <v>426</v>
      </c>
      <c r="D157" s="11" t="s">
        <v>503</v>
      </c>
      <c r="E157" s="7">
        <v>837846.97</v>
      </c>
      <c r="F157" s="7"/>
      <c r="G157" s="7"/>
      <c r="H157" s="8"/>
      <c r="I157" s="7">
        <f t="shared" si="21"/>
        <v>907316.38</v>
      </c>
      <c r="J157" s="7">
        <f t="shared" si="22"/>
        <v>181463.28</v>
      </c>
      <c r="K157" s="8">
        <f t="shared" si="23"/>
        <v>1088779.6599999999</v>
      </c>
    </row>
    <row r="158" spans="1:11" ht="31.5" x14ac:dyDescent="0.25">
      <c r="A158" s="6">
        <f t="shared" si="27"/>
        <v>146</v>
      </c>
      <c r="B158" s="6">
        <f t="shared" si="26"/>
        <v>146</v>
      </c>
      <c r="C158" s="10" t="s">
        <v>427</v>
      </c>
      <c r="D158" s="11" t="s">
        <v>503</v>
      </c>
      <c r="E158" s="7">
        <v>811215.69</v>
      </c>
      <c r="F158" s="7"/>
      <c r="G158" s="7"/>
      <c r="H158" s="8"/>
      <c r="I158" s="7">
        <f t="shared" si="21"/>
        <v>878476.99</v>
      </c>
      <c r="J158" s="7">
        <f t="shared" si="22"/>
        <v>175695.4</v>
      </c>
      <c r="K158" s="8">
        <f t="shared" si="23"/>
        <v>1054172.3899999999</v>
      </c>
    </row>
    <row r="159" spans="1:11" ht="31.5" x14ac:dyDescent="0.25">
      <c r="A159" s="6">
        <f t="shared" si="27"/>
        <v>147</v>
      </c>
      <c r="B159" s="6">
        <f t="shared" si="26"/>
        <v>147</v>
      </c>
      <c r="C159" s="10" t="s">
        <v>428</v>
      </c>
      <c r="D159" s="11" t="s">
        <v>503</v>
      </c>
      <c r="E159" s="7">
        <v>889046.35</v>
      </c>
      <c r="F159" s="7"/>
      <c r="G159" s="7"/>
      <c r="H159" s="8"/>
      <c r="I159" s="7">
        <f t="shared" si="21"/>
        <v>962760.92</v>
      </c>
      <c r="J159" s="7">
        <f t="shared" si="22"/>
        <v>192552.18</v>
      </c>
      <c r="K159" s="8">
        <f t="shared" si="23"/>
        <v>1155313.1000000001</v>
      </c>
    </row>
    <row r="160" spans="1:11" ht="31.5" x14ac:dyDescent="0.25">
      <c r="A160" s="6">
        <f t="shared" si="27"/>
        <v>148</v>
      </c>
      <c r="B160" s="6">
        <f t="shared" si="26"/>
        <v>148</v>
      </c>
      <c r="C160" s="10" t="s">
        <v>429</v>
      </c>
      <c r="D160" s="11" t="s">
        <v>503</v>
      </c>
      <c r="E160" s="7">
        <v>862415.07</v>
      </c>
      <c r="F160" s="7"/>
      <c r="G160" s="7"/>
      <c r="H160" s="8"/>
      <c r="I160" s="7">
        <f t="shared" si="21"/>
        <v>933921.53</v>
      </c>
      <c r="J160" s="7">
        <f t="shared" si="22"/>
        <v>186784.31</v>
      </c>
      <c r="K160" s="8">
        <f t="shared" si="23"/>
        <v>1120705.8400000001</v>
      </c>
    </row>
    <row r="161" spans="1:11" ht="31.5" x14ac:dyDescent="0.25">
      <c r="A161" s="6">
        <f t="shared" si="27"/>
        <v>149</v>
      </c>
      <c r="B161" s="6">
        <f t="shared" si="26"/>
        <v>149</v>
      </c>
      <c r="C161" s="10" t="s">
        <v>430</v>
      </c>
      <c r="D161" s="11" t="s">
        <v>503</v>
      </c>
      <c r="E161" s="7">
        <v>991225.42</v>
      </c>
      <c r="F161" s="7"/>
      <c r="G161" s="7"/>
      <c r="H161" s="8"/>
      <c r="I161" s="7">
        <f t="shared" si="21"/>
        <v>1073412.08</v>
      </c>
      <c r="J161" s="7">
        <f t="shared" si="22"/>
        <v>214682.42</v>
      </c>
      <c r="K161" s="8">
        <f t="shared" si="23"/>
        <v>1288094.5</v>
      </c>
    </row>
    <row r="162" spans="1:11" ht="31.5" x14ac:dyDescent="0.25">
      <c r="A162" s="6">
        <f t="shared" si="27"/>
        <v>150</v>
      </c>
      <c r="B162" s="6">
        <f t="shared" si="26"/>
        <v>150</v>
      </c>
      <c r="C162" s="10" t="s">
        <v>431</v>
      </c>
      <c r="D162" s="11" t="s">
        <v>503</v>
      </c>
      <c r="E162" s="7">
        <v>964594.15</v>
      </c>
      <c r="F162" s="7"/>
      <c r="G162" s="7"/>
      <c r="H162" s="8"/>
      <c r="I162" s="7">
        <f t="shared" si="21"/>
        <v>1044572.7</v>
      </c>
      <c r="J162" s="7">
        <f t="shared" si="22"/>
        <v>208914.54</v>
      </c>
      <c r="K162" s="8">
        <f t="shared" si="23"/>
        <v>1253487.24</v>
      </c>
    </row>
    <row r="163" spans="1:11" ht="31.5" x14ac:dyDescent="0.25">
      <c r="A163" s="6">
        <f t="shared" si="27"/>
        <v>151</v>
      </c>
      <c r="B163" s="6">
        <f t="shared" si="26"/>
        <v>151</v>
      </c>
      <c r="C163" s="10" t="s">
        <v>432</v>
      </c>
      <c r="D163" s="11" t="s">
        <v>503</v>
      </c>
      <c r="E163" s="7">
        <v>1064111.5</v>
      </c>
      <c r="F163" s="7"/>
      <c r="G163" s="7"/>
      <c r="H163" s="8"/>
      <c r="I163" s="7">
        <f t="shared" si="21"/>
        <v>1152341.45</v>
      </c>
      <c r="J163" s="7">
        <f t="shared" si="22"/>
        <v>230468.29</v>
      </c>
      <c r="K163" s="8">
        <f t="shared" si="23"/>
        <v>1382809.74</v>
      </c>
    </row>
    <row r="164" spans="1:11" ht="31.5" x14ac:dyDescent="0.25">
      <c r="A164" s="6">
        <f t="shared" si="27"/>
        <v>152</v>
      </c>
      <c r="B164" s="6">
        <f t="shared" si="26"/>
        <v>152</v>
      </c>
      <c r="C164" s="10" t="s">
        <v>433</v>
      </c>
      <c r="D164" s="11" t="s">
        <v>503</v>
      </c>
      <c r="E164" s="7">
        <v>1037480.23</v>
      </c>
      <c r="F164" s="7"/>
      <c r="G164" s="7"/>
      <c r="H164" s="8"/>
      <c r="I164" s="7">
        <f t="shared" si="21"/>
        <v>1123502.07</v>
      </c>
      <c r="J164" s="7">
        <f t="shared" si="22"/>
        <v>224700.41</v>
      </c>
      <c r="K164" s="8">
        <f t="shared" si="23"/>
        <v>1348202.48</v>
      </c>
    </row>
    <row r="165" spans="1:11" ht="18.75" x14ac:dyDescent="0.25">
      <c r="A165" s="6">
        <f t="shared" si="27"/>
        <v>153</v>
      </c>
      <c r="B165" s="6">
        <f t="shared" si="26"/>
        <v>153</v>
      </c>
      <c r="C165" s="10" t="s">
        <v>434</v>
      </c>
      <c r="D165" s="11" t="s">
        <v>503</v>
      </c>
      <c r="E165" s="7">
        <v>40251.15</v>
      </c>
      <c r="F165" s="7"/>
      <c r="G165" s="7"/>
      <c r="H165" s="8"/>
      <c r="I165" s="7">
        <f t="shared" si="21"/>
        <v>43588.54</v>
      </c>
      <c r="J165" s="7">
        <f t="shared" si="22"/>
        <v>8717.7099999999991</v>
      </c>
      <c r="K165" s="8">
        <f t="shared" si="23"/>
        <v>52306.25</v>
      </c>
    </row>
    <row r="166" spans="1:11" ht="18.75" x14ac:dyDescent="0.25">
      <c r="A166" s="6">
        <f t="shared" si="27"/>
        <v>154</v>
      </c>
      <c r="B166" s="6">
        <f>B165+1</f>
        <v>154</v>
      </c>
      <c r="C166" s="10" t="s">
        <v>435</v>
      </c>
      <c r="D166" s="11" t="s">
        <v>503</v>
      </c>
      <c r="E166" s="7">
        <v>124736.74</v>
      </c>
      <c r="F166" s="7"/>
      <c r="G166" s="7"/>
      <c r="H166" s="8"/>
      <c r="I166" s="7">
        <f t="shared" si="21"/>
        <v>135079.19</v>
      </c>
      <c r="J166" s="7">
        <f t="shared" si="22"/>
        <v>27015.84</v>
      </c>
      <c r="K166" s="8">
        <f t="shared" si="23"/>
        <v>162095.03</v>
      </c>
    </row>
    <row r="167" spans="1:11" ht="18.75" x14ac:dyDescent="0.25">
      <c r="A167" s="6">
        <f t="shared" si="27"/>
        <v>155</v>
      </c>
      <c r="B167" s="6">
        <f>B166+1</f>
        <v>155</v>
      </c>
      <c r="C167" s="10" t="s">
        <v>436</v>
      </c>
      <c r="D167" s="11" t="s">
        <v>503</v>
      </c>
      <c r="E167" s="7">
        <v>257107.86</v>
      </c>
      <c r="F167" s="7"/>
      <c r="G167" s="7"/>
      <c r="H167" s="8"/>
      <c r="I167" s="7">
        <f t="shared" si="21"/>
        <v>278425.75</v>
      </c>
      <c r="J167" s="7">
        <f t="shared" si="22"/>
        <v>55685.15</v>
      </c>
      <c r="K167" s="8">
        <f t="shared" si="23"/>
        <v>334110.90000000002</v>
      </c>
    </row>
    <row r="168" spans="1:11" ht="18.75" x14ac:dyDescent="0.25">
      <c r="A168" s="6">
        <f t="shared" si="27"/>
        <v>156</v>
      </c>
      <c r="B168" s="6">
        <f>B167+1</f>
        <v>156</v>
      </c>
      <c r="C168" s="10" t="s">
        <v>437</v>
      </c>
      <c r="D168" s="11" t="s">
        <v>503</v>
      </c>
      <c r="E168" s="7">
        <v>210454.05</v>
      </c>
      <c r="F168" s="7"/>
      <c r="G168" s="7"/>
      <c r="H168" s="8"/>
      <c r="I168" s="7">
        <f t="shared" si="21"/>
        <v>227903.68</v>
      </c>
      <c r="J168" s="7">
        <f t="shared" si="22"/>
        <v>45580.74</v>
      </c>
      <c r="K168" s="8">
        <f t="shared" si="23"/>
        <v>273484.42</v>
      </c>
    </row>
    <row r="169" spans="1:11" ht="31.5" x14ac:dyDescent="0.25">
      <c r="A169" s="6">
        <f t="shared" ref="A169:B184" si="28">A168+1</f>
        <v>157</v>
      </c>
      <c r="B169" s="6">
        <f t="shared" si="28"/>
        <v>157</v>
      </c>
      <c r="C169" s="10" t="s">
        <v>438</v>
      </c>
      <c r="D169" s="11" t="s">
        <v>503</v>
      </c>
      <c r="E169" s="7">
        <v>238139.96</v>
      </c>
      <c r="F169" s="7"/>
      <c r="G169" s="7"/>
      <c r="H169" s="8"/>
      <c r="I169" s="7">
        <f t="shared" si="21"/>
        <v>257885.14</v>
      </c>
      <c r="J169" s="7">
        <f t="shared" si="22"/>
        <v>51577.03</v>
      </c>
      <c r="K169" s="8">
        <f t="shared" si="23"/>
        <v>309462.17</v>
      </c>
    </row>
    <row r="170" spans="1:11" ht="31.5" x14ac:dyDescent="0.25">
      <c r="A170" s="6">
        <f t="shared" si="28"/>
        <v>158</v>
      </c>
      <c r="B170" s="6">
        <f t="shared" si="28"/>
        <v>158</v>
      </c>
      <c r="C170" s="12" t="s">
        <v>439</v>
      </c>
      <c r="D170" s="11" t="s">
        <v>499</v>
      </c>
      <c r="E170" s="7">
        <v>26.48</v>
      </c>
      <c r="F170" s="7"/>
      <c r="G170" s="7"/>
      <c r="H170" s="8"/>
      <c r="I170" s="7">
        <f t="shared" si="21"/>
        <v>28.68</v>
      </c>
      <c r="J170" s="7">
        <f t="shared" si="22"/>
        <v>5.74</v>
      </c>
      <c r="K170" s="8">
        <f t="shared" si="23"/>
        <v>34.42</v>
      </c>
    </row>
    <row r="171" spans="1:11" ht="47.25" x14ac:dyDescent="0.25">
      <c r="A171" s="6">
        <f t="shared" si="28"/>
        <v>159</v>
      </c>
      <c r="B171" s="6">
        <f t="shared" si="28"/>
        <v>159</v>
      </c>
      <c r="C171" s="12" t="s">
        <v>440</v>
      </c>
      <c r="D171" s="11" t="s">
        <v>499</v>
      </c>
      <c r="E171" s="7">
        <v>1.54</v>
      </c>
      <c r="F171" s="7"/>
      <c r="G171" s="7"/>
      <c r="H171" s="8"/>
      <c r="I171" s="7">
        <f t="shared" si="21"/>
        <v>1.67</v>
      </c>
      <c r="J171" s="7">
        <f t="shared" si="22"/>
        <v>0.33</v>
      </c>
      <c r="K171" s="8">
        <f t="shared" si="23"/>
        <v>2</v>
      </c>
    </row>
    <row r="172" spans="1:11" ht="18.75" x14ac:dyDescent="0.25">
      <c r="A172" s="6">
        <f t="shared" si="28"/>
        <v>160</v>
      </c>
      <c r="B172" s="6">
        <f t="shared" si="28"/>
        <v>160</v>
      </c>
      <c r="C172" s="12" t="s">
        <v>441</v>
      </c>
      <c r="D172" s="11" t="s">
        <v>499</v>
      </c>
      <c r="E172" s="7">
        <v>26.48</v>
      </c>
      <c r="F172" s="7"/>
      <c r="G172" s="7"/>
      <c r="H172" s="8"/>
      <c r="I172" s="7">
        <f t="shared" si="21"/>
        <v>28.68</v>
      </c>
      <c r="J172" s="7">
        <f t="shared" si="22"/>
        <v>5.74</v>
      </c>
      <c r="K172" s="8">
        <f t="shared" si="23"/>
        <v>34.42</v>
      </c>
    </row>
    <row r="173" spans="1:11" ht="47.25" x14ac:dyDescent="0.25">
      <c r="A173" s="6">
        <f t="shared" si="28"/>
        <v>161</v>
      </c>
      <c r="B173" s="6">
        <f t="shared" si="28"/>
        <v>161</v>
      </c>
      <c r="C173" s="12" t="s">
        <v>442</v>
      </c>
      <c r="D173" s="11" t="s">
        <v>499</v>
      </c>
      <c r="E173" s="7">
        <v>1.54</v>
      </c>
      <c r="F173" s="7"/>
      <c r="G173" s="7"/>
      <c r="H173" s="8"/>
      <c r="I173" s="7">
        <f t="shared" si="21"/>
        <v>1.67</v>
      </c>
      <c r="J173" s="7">
        <f t="shared" si="22"/>
        <v>0.33</v>
      </c>
      <c r="K173" s="8">
        <f t="shared" si="23"/>
        <v>2</v>
      </c>
    </row>
    <row r="174" spans="1:11" ht="31.5" x14ac:dyDescent="0.25">
      <c r="A174" s="6">
        <f t="shared" si="28"/>
        <v>162</v>
      </c>
      <c r="B174" s="6">
        <f t="shared" si="28"/>
        <v>162</v>
      </c>
      <c r="C174" s="12" t="s">
        <v>443</v>
      </c>
      <c r="D174" s="11" t="s">
        <v>499</v>
      </c>
      <c r="E174" s="7">
        <v>26.48</v>
      </c>
      <c r="F174" s="7"/>
      <c r="G174" s="7"/>
      <c r="H174" s="8"/>
      <c r="I174" s="7">
        <f t="shared" si="21"/>
        <v>28.68</v>
      </c>
      <c r="J174" s="7">
        <f t="shared" si="22"/>
        <v>5.74</v>
      </c>
      <c r="K174" s="8">
        <f t="shared" si="23"/>
        <v>34.42</v>
      </c>
    </row>
    <row r="175" spans="1:11" ht="31.5" x14ac:dyDescent="0.25">
      <c r="A175" s="6">
        <f t="shared" si="28"/>
        <v>163</v>
      </c>
      <c r="B175" s="6">
        <f t="shared" si="28"/>
        <v>163</v>
      </c>
      <c r="C175" s="12" t="s">
        <v>444</v>
      </c>
      <c r="D175" s="11" t="s">
        <v>494</v>
      </c>
      <c r="E175" s="7">
        <v>2865.79</v>
      </c>
      <c r="F175" s="7"/>
      <c r="G175" s="7"/>
      <c r="H175" s="8"/>
      <c r="I175" s="7">
        <f t="shared" si="21"/>
        <v>3103.4</v>
      </c>
      <c r="J175" s="7">
        <f t="shared" si="22"/>
        <v>620.67999999999995</v>
      </c>
      <c r="K175" s="8">
        <f t="shared" si="23"/>
        <v>3724.08</v>
      </c>
    </row>
    <row r="176" spans="1:11" ht="31.5" x14ac:dyDescent="0.25">
      <c r="A176" s="6">
        <f t="shared" si="28"/>
        <v>164</v>
      </c>
      <c r="B176" s="6">
        <f t="shared" si="28"/>
        <v>164</v>
      </c>
      <c r="C176" s="12" t="s">
        <v>445</v>
      </c>
      <c r="D176" s="11" t="s">
        <v>499</v>
      </c>
      <c r="E176" s="7">
        <v>311.68</v>
      </c>
      <c r="F176" s="7"/>
      <c r="G176" s="7"/>
      <c r="H176" s="8"/>
      <c r="I176" s="7">
        <f t="shared" si="21"/>
        <v>337.52</v>
      </c>
      <c r="J176" s="7">
        <f t="shared" si="22"/>
        <v>67.5</v>
      </c>
      <c r="K176" s="8">
        <f t="shared" si="23"/>
        <v>405.02</v>
      </c>
    </row>
    <row r="177" spans="1:11" ht="31.5" x14ac:dyDescent="0.25">
      <c r="A177" s="6">
        <f t="shared" si="28"/>
        <v>165</v>
      </c>
      <c r="B177" s="6">
        <f t="shared" si="28"/>
        <v>165</v>
      </c>
      <c r="C177" s="10" t="s">
        <v>446</v>
      </c>
      <c r="D177" s="11" t="s">
        <v>499</v>
      </c>
      <c r="E177" s="7">
        <v>9.8699999999999992</v>
      </c>
      <c r="F177" s="7"/>
      <c r="G177" s="7"/>
      <c r="H177" s="8"/>
      <c r="I177" s="7">
        <f t="shared" si="21"/>
        <v>10.69</v>
      </c>
      <c r="J177" s="7">
        <f t="shared" si="22"/>
        <v>2.14</v>
      </c>
      <c r="K177" s="8">
        <f t="shared" si="23"/>
        <v>12.83</v>
      </c>
    </row>
    <row r="178" spans="1:11" ht="31.5" x14ac:dyDescent="0.25">
      <c r="A178" s="6">
        <f t="shared" si="28"/>
        <v>166</v>
      </c>
      <c r="B178" s="6">
        <f t="shared" si="28"/>
        <v>166</v>
      </c>
      <c r="C178" s="10" t="s">
        <v>447</v>
      </c>
      <c r="D178" s="11" t="s">
        <v>499</v>
      </c>
      <c r="E178" s="7">
        <v>9.8699999999999992</v>
      </c>
      <c r="F178" s="7"/>
      <c r="G178" s="7"/>
      <c r="H178" s="8"/>
      <c r="I178" s="7">
        <f t="shared" si="21"/>
        <v>10.69</v>
      </c>
      <c r="J178" s="7">
        <f t="shared" si="22"/>
        <v>2.14</v>
      </c>
      <c r="K178" s="8">
        <f t="shared" si="23"/>
        <v>12.83</v>
      </c>
    </row>
    <row r="179" spans="1:11" ht="18.75" x14ac:dyDescent="0.25">
      <c r="A179" s="6">
        <f t="shared" si="28"/>
        <v>167</v>
      </c>
      <c r="B179" s="6">
        <f t="shared" si="28"/>
        <v>167</v>
      </c>
      <c r="C179" s="12" t="s">
        <v>448</v>
      </c>
      <c r="D179" s="11" t="s">
        <v>499</v>
      </c>
      <c r="E179" s="7">
        <v>2.7</v>
      </c>
      <c r="F179" s="7"/>
      <c r="G179" s="7"/>
      <c r="H179" s="8"/>
      <c r="I179" s="7">
        <f t="shared" si="21"/>
        <v>2.92</v>
      </c>
      <c r="J179" s="7">
        <f t="shared" si="22"/>
        <v>0.57999999999999996</v>
      </c>
      <c r="K179" s="8">
        <f t="shared" si="23"/>
        <v>3.5</v>
      </c>
    </row>
    <row r="180" spans="1:11" ht="31.5" x14ac:dyDescent="0.25">
      <c r="A180" s="6">
        <f t="shared" si="28"/>
        <v>168</v>
      </c>
      <c r="B180" s="6">
        <f t="shared" si="28"/>
        <v>168</v>
      </c>
      <c r="C180" s="12" t="s">
        <v>449</v>
      </c>
      <c r="D180" s="11" t="s">
        <v>499</v>
      </c>
      <c r="E180" s="7">
        <v>55.53</v>
      </c>
      <c r="F180" s="7"/>
      <c r="G180" s="7"/>
      <c r="H180" s="8"/>
      <c r="I180" s="7">
        <f t="shared" si="21"/>
        <v>60.13</v>
      </c>
      <c r="J180" s="7">
        <f t="shared" si="22"/>
        <v>12.03</v>
      </c>
      <c r="K180" s="8">
        <f t="shared" si="23"/>
        <v>72.16</v>
      </c>
    </row>
    <row r="181" spans="1:11" ht="18.75" x14ac:dyDescent="0.25">
      <c r="A181" s="6">
        <f t="shared" si="28"/>
        <v>169</v>
      </c>
      <c r="B181" s="6">
        <f t="shared" si="28"/>
        <v>169</v>
      </c>
      <c r="C181" s="12" t="s">
        <v>450</v>
      </c>
      <c r="D181" s="11" t="s">
        <v>499</v>
      </c>
      <c r="E181" s="7">
        <v>55.53</v>
      </c>
      <c r="F181" s="7"/>
      <c r="G181" s="7"/>
      <c r="H181" s="8"/>
      <c r="I181" s="7">
        <f t="shared" si="21"/>
        <v>60.13</v>
      </c>
      <c r="J181" s="7">
        <f t="shared" si="22"/>
        <v>12.03</v>
      </c>
      <c r="K181" s="8">
        <f t="shared" si="23"/>
        <v>72.16</v>
      </c>
    </row>
    <row r="182" spans="1:11" ht="18.75" x14ac:dyDescent="0.25">
      <c r="A182" s="6">
        <f t="shared" si="28"/>
        <v>170</v>
      </c>
      <c r="B182" s="6">
        <f t="shared" si="28"/>
        <v>170</v>
      </c>
      <c r="C182" s="12" t="s">
        <v>451</v>
      </c>
      <c r="D182" s="11" t="s">
        <v>499</v>
      </c>
      <c r="E182" s="7">
        <v>55.53</v>
      </c>
      <c r="F182" s="7"/>
      <c r="G182" s="7"/>
      <c r="H182" s="8"/>
      <c r="I182" s="7">
        <f t="shared" si="21"/>
        <v>60.13</v>
      </c>
      <c r="J182" s="7">
        <f t="shared" si="22"/>
        <v>12.03</v>
      </c>
      <c r="K182" s="8">
        <f t="shared" si="23"/>
        <v>72.16</v>
      </c>
    </row>
    <row r="183" spans="1:11" ht="31.5" x14ac:dyDescent="0.25">
      <c r="A183" s="6">
        <f t="shared" si="28"/>
        <v>171</v>
      </c>
      <c r="B183" s="6">
        <f t="shared" si="28"/>
        <v>171</v>
      </c>
      <c r="C183" s="12" t="s">
        <v>452</v>
      </c>
      <c r="D183" s="11" t="s">
        <v>499</v>
      </c>
      <c r="E183" s="7">
        <v>55.53</v>
      </c>
      <c r="F183" s="7"/>
      <c r="G183" s="7"/>
      <c r="H183" s="8"/>
      <c r="I183" s="7">
        <f t="shared" si="21"/>
        <v>60.13</v>
      </c>
      <c r="J183" s="7">
        <f t="shared" si="22"/>
        <v>12.03</v>
      </c>
      <c r="K183" s="8">
        <f t="shared" si="23"/>
        <v>72.16</v>
      </c>
    </row>
    <row r="184" spans="1:11" ht="31.5" x14ac:dyDescent="0.25">
      <c r="A184" s="6">
        <f t="shared" si="28"/>
        <v>172</v>
      </c>
      <c r="B184" s="6">
        <f t="shared" si="28"/>
        <v>172</v>
      </c>
      <c r="C184" s="12" t="s">
        <v>453</v>
      </c>
      <c r="D184" s="11" t="s">
        <v>499</v>
      </c>
      <c r="E184" s="7">
        <v>55.53</v>
      </c>
      <c r="F184" s="7"/>
      <c r="G184" s="7"/>
      <c r="H184" s="8"/>
      <c r="I184" s="7">
        <f t="shared" si="21"/>
        <v>60.13</v>
      </c>
      <c r="J184" s="7">
        <f t="shared" si="22"/>
        <v>12.03</v>
      </c>
      <c r="K184" s="8">
        <f t="shared" si="23"/>
        <v>72.16</v>
      </c>
    </row>
    <row r="185" spans="1:11" ht="31.5" x14ac:dyDescent="0.25">
      <c r="A185" s="6">
        <f t="shared" ref="A185:B199" si="29">A184+1</f>
        <v>173</v>
      </c>
      <c r="B185" s="6">
        <f>B184+1</f>
        <v>173</v>
      </c>
      <c r="C185" s="12" t="s">
        <v>454</v>
      </c>
      <c r="D185" s="11" t="s">
        <v>499</v>
      </c>
      <c r="E185" s="7">
        <v>55.53</v>
      </c>
      <c r="F185" s="7"/>
      <c r="G185" s="7"/>
      <c r="H185" s="8"/>
      <c r="I185" s="7">
        <f t="shared" si="21"/>
        <v>60.13</v>
      </c>
      <c r="J185" s="7">
        <f t="shared" si="22"/>
        <v>12.03</v>
      </c>
      <c r="K185" s="8">
        <f t="shared" si="23"/>
        <v>72.16</v>
      </c>
    </row>
    <row r="186" spans="1:11" ht="31.5" x14ac:dyDescent="0.25">
      <c r="A186" s="6">
        <f t="shared" si="29"/>
        <v>174</v>
      </c>
      <c r="B186" s="6">
        <f>B185+1</f>
        <v>174</v>
      </c>
      <c r="C186" s="12" t="s">
        <v>455</v>
      </c>
      <c r="D186" s="11" t="s">
        <v>499</v>
      </c>
      <c r="E186" s="7">
        <v>55.53</v>
      </c>
      <c r="F186" s="7"/>
      <c r="G186" s="7"/>
      <c r="H186" s="8"/>
      <c r="I186" s="7">
        <f t="shared" si="21"/>
        <v>60.13</v>
      </c>
      <c r="J186" s="7">
        <f t="shared" si="22"/>
        <v>12.03</v>
      </c>
      <c r="K186" s="8">
        <f t="shared" si="23"/>
        <v>72.16</v>
      </c>
    </row>
    <row r="187" spans="1:11" ht="31.5" x14ac:dyDescent="0.25">
      <c r="A187" s="6">
        <f t="shared" si="29"/>
        <v>175</v>
      </c>
      <c r="B187" s="6">
        <f t="shared" si="29"/>
        <v>175</v>
      </c>
      <c r="C187" s="10" t="s">
        <v>456</v>
      </c>
      <c r="D187" s="11" t="s">
        <v>499</v>
      </c>
      <c r="E187" s="7">
        <v>159.52000000000001</v>
      </c>
      <c r="F187" s="7"/>
      <c r="G187" s="7"/>
      <c r="H187" s="8"/>
      <c r="I187" s="7">
        <f t="shared" si="21"/>
        <v>172.75</v>
      </c>
      <c r="J187" s="7">
        <f t="shared" si="22"/>
        <v>34.549999999999997</v>
      </c>
      <c r="K187" s="8">
        <f t="shared" si="23"/>
        <v>207.3</v>
      </c>
    </row>
    <row r="188" spans="1:11" ht="18.75" x14ac:dyDescent="0.25">
      <c r="A188" s="6">
        <f t="shared" si="29"/>
        <v>176</v>
      </c>
      <c r="B188" s="6">
        <f t="shared" si="29"/>
        <v>176</v>
      </c>
      <c r="C188" s="10" t="s">
        <v>457</v>
      </c>
      <c r="D188" s="11" t="s">
        <v>499</v>
      </c>
      <c r="E188" s="7">
        <v>242.08</v>
      </c>
      <c r="F188" s="7"/>
      <c r="G188" s="7"/>
      <c r="H188" s="8"/>
      <c r="I188" s="7">
        <f t="shared" si="21"/>
        <v>262.14999999999998</v>
      </c>
      <c r="J188" s="7">
        <f t="shared" si="22"/>
        <v>52.43</v>
      </c>
      <c r="K188" s="8">
        <f t="shared" si="23"/>
        <v>314.58</v>
      </c>
    </row>
    <row r="189" spans="1:11" ht="31.5" x14ac:dyDescent="0.25">
      <c r="A189" s="6">
        <f t="shared" si="29"/>
        <v>177</v>
      </c>
      <c r="B189" s="6">
        <f t="shared" si="29"/>
        <v>177</v>
      </c>
      <c r="C189" s="12" t="s">
        <v>458</v>
      </c>
      <c r="D189" s="11" t="s">
        <v>499</v>
      </c>
      <c r="E189" s="7">
        <v>383.28</v>
      </c>
      <c r="F189" s="7"/>
      <c r="G189" s="7"/>
      <c r="H189" s="8"/>
      <c r="I189" s="7">
        <f t="shared" si="21"/>
        <v>415.06</v>
      </c>
      <c r="J189" s="7">
        <f t="shared" si="22"/>
        <v>83.01</v>
      </c>
      <c r="K189" s="8">
        <f t="shared" si="23"/>
        <v>498.07</v>
      </c>
    </row>
    <row r="190" spans="1:11" ht="31.5" x14ac:dyDescent="0.25">
      <c r="A190" s="6">
        <f t="shared" si="29"/>
        <v>178</v>
      </c>
      <c r="B190" s="6">
        <f t="shared" si="29"/>
        <v>178</v>
      </c>
      <c r="C190" s="12" t="s">
        <v>459</v>
      </c>
      <c r="D190" s="11" t="s">
        <v>499</v>
      </c>
      <c r="E190" s="7">
        <v>311.68</v>
      </c>
      <c r="F190" s="7"/>
      <c r="G190" s="7"/>
      <c r="H190" s="8"/>
      <c r="I190" s="7">
        <f t="shared" si="21"/>
        <v>337.52</v>
      </c>
      <c r="J190" s="7">
        <f t="shared" si="22"/>
        <v>67.5</v>
      </c>
      <c r="K190" s="8">
        <f t="shared" si="23"/>
        <v>405.02</v>
      </c>
    </row>
    <row r="191" spans="1:11" ht="31.5" x14ac:dyDescent="0.25">
      <c r="A191" s="6">
        <f t="shared" si="29"/>
        <v>179</v>
      </c>
      <c r="B191" s="6">
        <f t="shared" si="29"/>
        <v>179</v>
      </c>
      <c r="C191" s="12" t="s">
        <v>460</v>
      </c>
      <c r="D191" s="11" t="s">
        <v>499</v>
      </c>
      <c r="E191" s="7">
        <v>290.82</v>
      </c>
      <c r="F191" s="7"/>
      <c r="G191" s="7"/>
      <c r="H191" s="8"/>
      <c r="I191" s="7">
        <f t="shared" si="21"/>
        <v>314.93</v>
      </c>
      <c r="J191" s="7">
        <f t="shared" si="22"/>
        <v>62.99</v>
      </c>
      <c r="K191" s="8">
        <f t="shared" si="23"/>
        <v>377.92</v>
      </c>
    </row>
    <row r="192" spans="1:11" ht="31.5" x14ac:dyDescent="0.25">
      <c r="A192" s="6">
        <f t="shared" si="29"/>
        <v>180</v>
      </c>
      <c r="B192" s="6">
        <f t="shared" si="29"/>
        <v>180</v>
      </c>
      <c r="C192" s="12" t="s">
        <v>461</v>
      </c>
      <c r="D192" s="11" t="s">
        <v>494</v>
      </c>
      <c r="E192" s="7">
        <v>451.44</v>
      </c>
      <c r="F192" s="7"/>
      <c r="G192" s="7"/>
      <c r="H192" s="8"/>
      <c r="I192" s="7">
        <f t="shared" si="21"/>
        <v>488.87</v>
      </c>
      <c r="J192" s="7">
        <f t="shared" si="22"/>
        <v>97.77</v>
      </c>
      <c r="K192" s="8">
        <f t="shared" si="23"/>
        <v>586.64</v>
      </c>
    </row>
    <row r="193" spans="1:11" ht="18.75" x14ac:dyDescent="0.25">
      <c r="A193" s="6">
        <f t="shared" si="29"/>
        <v>181</v>
      </c>
      <c r="B193" s="6">
        <f>B192+1</f>
        <v>181</v>
      </c>
      <c r="C193" s="10" t="s">
        <v>462</v>
      </c>
      <c r="D193" s="11" t="s">
        <v>494</v>
      </c>
      <c r="E193" s="7">
        <v>266.38</v>
      </c>
      <c r="F193" s="7"/>
      <c r="G193" s="7"/>
      <c r="H193" s="8"/>
      <c r="I193" s="7">
        <f t="shared" si="21"/>
        <v>288.47000000000003</v>
      </c>
      <c r="J193" s="7">
        <f t="shared" si="22"/>
        <v>57.69</v>
      </c>
      <c r="K193" s="8">
        <f t="shared" si="23"/>
        <v>346.16</v>
      </c>
    </row>
    <row r="194" spans="1:11" ht="31.5" x14ac:dyDescent="0.25">
      <c r="A194" s="6">
        <f t="shared" si="29"/>
        <v>182</v>
      </c>
      <c r="B194" s="6">
        <f>B193+1</f>
        <v>182</v>
      </c>
      <c r="C194" s="10" t="s">
        <v>463</v>
      </c>
      <c r="D194" s="11" t="s">
        <v>494</v>
      </c>
      <c r="E194" s="7">
        <v>138.13</v>
      </c>
      <c r="F194" s="7"/>
      <c r="G194" s="7"/>
      <c r="H194" s="8"/>
      <c r="I194" s="7">
        <f t="shared" si="21"/>
        <v>149.58000000000001</v>
      </c>
      <c r="J194" s="7">
        <f t="shared" si="22"/>
        <v>29.92</v>
      </c>
      <c r="K194" s="8">
        <f t="shared" si="23"/>
        <v>179.5</v>
      </c>
    </row>
    <row r="195" spans="1:11" ht="31.5" x14ac:dyDescent="0.25">
      <c r="A195" s="6">
        <f t="shared" si="29"/>
        <v>183</v>
      </c>
      <c r="B195" s="6">
        <f t="shared" si="29"/>
        <v>183</v>
      </c>
      <c r="C195" s="10" t="s">
        <v>464</v>
      </c>
      <c r="D195" s="11" t="s">
        <v>499</v>
      </c>
      <c r="E195" s="7">
        <v>97.01</v>
      </c>
      <c r="F195" s="7"/>
      <c r="G195" s="7"/>
      <c r="H195" s="8"/>
      <c r="I195" s="7">
        <f t="shared" si="21"/>
        <v>105.05</v>
      </c>
      <c r="J195" s="7">
        <f t="shared" si="22"/>
        <v>21.01</v>
      </c>
      <c r="K195" s="8">
        <f t="shared" si="23"/>
        <v>126.06</v>
      </c>
    </row>
    <row r="196" spans="1:11" ht="18.75" x14ac:dyDescent="0.25">
      <c r="A196" s="6">
        <f t="shared" si="29"/>
        <v>184</v>
      </c>
      <c r="B196" s="6">
        <f t="shared" si="29"/>
        <v>184</v>
      </c>
      <c r="C196" s="10" t="s">
        <v>465</v>
      </c>
      <c r="D196" s="11" t="s">
        <v>499</v>
      </c>
      <c r="E196" s="7">
        <v>110.39</v>
      </c>
      <c r="F196" s="7"/>
      <c r="G196" s="7"/>
      <c r="H196" s="8"/>
      <c r="I196" s="7">
        <f t="shared" si="21"/>
        <v>119.54</v>
      </c>
      <c r="J196" s="7">
        <f t="shared" si="22"/>
        <v>23.91</v>
      </c>
      <c r="K196" s="8">
        <f t="shared" si="23"/>
        <v>143.44999999999999</v>
      </c>
    </row>
    <row r="197" spans="1:11" ht="18.75" x14ac:dyDescent="0.25">
      <c r="A197" s="6">
        <f t="shared" ref="A197:A213" si="30">A196+1</f>
        <v>185</v>
      </c>
      <c r="B197" s="6">
        <f t="shared" si="29"/>
        <v>185</v>
      </c>
      <c r="C197" s="10" t="s">
        <v>466</v>
      </c>
      <c r="D197" s="11" t="s">
        <v>494</v>
      </c>
      <c r="E197" s="7">
        <v>2841.68</v>
      </c>
      <c r="F197" s="7"/>
      <c r="G197" s="7"/>
      <c r="H197" s="8"/>
      <c r="I197" s="7">
        <f t="shared" si="21"/>
        <v>3077.3</v>
      </c>
      <c r="J197" s="7">
        <f t="shared" si="22"/>
        <v>615.46</v>
      </c>
      <c r="K197" s="8">
        <f t="shared" si="23"/>
        <v>3692.76</v>
      </c>
    </row>
    <row r="198" spans="1:11" ht="18.75" x14ac:dyDescent="0.25">
      <c r="A198" s="6">
        <f t="shared" si="30"/>
        <v>186</v>
      </c>
      <c r="B198" s="6">
        <f t="shared" si="29"/>
        <v>186</v>
      </c>
      <c r="C198" s="10" t="s">
        <v>467</v>
      </c>
      <c r="D198" s="11" t="s">
        <v>499</v>
      </c>
      <c r="E198" s="7">
        <v>5101.9399999999996</v>
      </c>
      <c r="F198" s="7"/>
      <c r="G198" s="7"/>
      <c r="H198" s="8"/>
      <c r="I198" s="7">
        <f t="shared" si="21"/>
        <v>5524.96</v>
      </c>
      <c r="J198" s="7">
        <f t="shared" si="22"/>
        <v>1104.99</v>
      </c>
      <c r="K198" s="8">
        <f t="shared" si="23"/>
        <v>6629.95</v>
      </c>
    </row>
    <row r="199" spans="1:11" ht="18.75" x14ac:dyDescent="0.25">
      <c r="A199" s="6">
        <f t="shared" si="30"/>
        <v>187</v>
      </c>
      <c r="B199" s="6">
        <f t="shared" si="29"/>
        <v>187</v>
      </c>
      <c r="C199" s="10" t="s">
        <v>468</v>
      </c>
      <c r="D199" s="11" t="s">
        <v>499</v>
      </c>
      <c r="E199" s="7">
        <v>270.83</v>
      </c>
      <c r="F199" s="7"/>
      <c r="G199" s="7"/>
      <c r="H199" s="8"/>
      <c r="I199" s="7">
        <f t="shared" si="21"/>
        <v>293.29000000000002</v>
      </c>
      <c r="J199" s="7">
        <f t="shared" si="22"/>
        <v>58.66</v>
      </c>
      <c r="K199" s="8">
        <f t="shared" si="23"/>
        <v>351.95</v>
      </c>
    </row>
    <row r="200" spans="1:11" ht="18.75" x14ac:dyDescent="0.25">
      <c r="A200" s="6">
        <f t="shared" si="30"/>
        <v>188</v>
      </c>
      <c r="B200" s="6">
        <f t="shared" ref="B200:B213" si="31">B199+1</f>
        <v>188</v>
      </c>
      <c r="C200" s="10" t="s">
        <v>469</v>
      </c>
      <c r="D200" s="11" t="s">
        <v>499</v>
      </c>
      <c r="E200" s="7">
        <v>6970.5</v>
      </c>
      <c r="F200" s="7"/>
      <c r="G200" s="7"/>
      <c r="H200" s="8"/>
      <c r="I200" s="7">
        <f t="shared" si="21"/>
        <v>7548.45</v>
      </c>
      <c r="J200" s="7">
        <f t="shared" si="22"/>
        <v>1509.69</v>
      </c>
      <c r="K200" s="8">
        <f t="shared" si="23"/>
        <v>9058.14</v>
      </c>
    </row>
    <row r="201" spans="1:11" ht="18.75" x14ac:dyDescent="0.25">
      <c r="A201" s="6">
        <f t="shared" si="30"/>
        <v>189</v>
      </c>
      <c r="B201" s="6">
        <f t="shared" si="31"/>
        <v>189</v>
      </c>
      <c r="C201" s="10" t="s">
        <v>470</v>
      </c>
      <c r="D201" s="11" t="s">
        <v>500</v>
      </c>
      <c r="E201" s="7">
        <v>2429.4899999999998</v>
      </c>
      <c r="F201" s="7"/>
      <c r="G201" s="7"/>
      <c r="H201" s="8"/>
      <c r="I201" s="7">
        <f t="shared" si="21"/>
        <v>2630.93</v>
      </c>
      <c r="J201" s="7">
        <f t="shared" si="22"/>
        <v>526.19000000000005</v>
      </c>
      <c r="K201" s="8">
        <f t="shared" si="23"/>
        <v>3157.12</v>
      </c>
    </row>
    <row r="202" spans="1:11" ht="31.5" x14ac:dyDescent="0.25">
      <c r="A202" s="6">
        <f t="shared" si="30"/>
        <v>190</v>
      </c>
      <c r="B202" s="6">
        <f t="shared" si="31"/>
        <v>190</v>
      </c>
      <c r="C202" s="10" t="s">
        <v>471</v>
      </c>
      <c r="D202" s="11" t="s">
        <v>500</v>
      </c>
      <c r="E202" s="7">
        <v>8220.1</v>
      </c>
      <c r="F202" s="7"/>
      <c r="G202" s="7"/>
      <c r="H202" s="8"/>
      <c r="I202" s="7">
        <f t="shared" si="21"/>
        <v>8901.66</v>
      </c>
      <c r="J202" s="7">
        <f t="shared" si="22"/>
        <v>1780.33</v>
      </c>
      <c r="K202" s="8">
        <f t="shared" si="23"/>
        <v>10681.99</v>
      </c>
    </row>
    <row r="203" spans="1:11" ht="31.5" x14ac:dyDescent="0.25">
      <c r="A203" s="6">
        <f t="shared" si="30"/>
        <v>191</v>
      </c>
      <c r="B203" s="6">
        <f t="shared" si="31"/>
        <v>191</v>
      </c>
      <c r="C203" s="10" t="s">
        <v>472</v>
      </c>
      <c r="D203" s="11" t="s">
        <v>499</v>
      </c>
      <c r="E203" s="7">
        <v>6674.19</v>
      </c>
      <c r="F203" s="7"/>
      <c r="G203" s="7"/>
      <c r="H203" s="8"/>
      <c r="I203" s="7">
        <f t="shared" si="21"/>
        <v>7227.58</v>
      </c>
      <c r="J203" s="7">
        <f t="shared" si="22"/>
        <v>1445.52</v>
      </c>
      <c r="K203" s="8">
        <f t="shared" si="23"/>
        <v>8673.1</v>
      </c>
    </row>
    <row r="204" spans="1:11" ht="18.75" x14ac:dyDescent="0.25">
      <c r="A204" s="6">
        <f t="shared" si="30"/>
        <v>192</v>
      </c>
      <c r="B204" s="6">
        <f t="shared" si="31"/>
        <v>192</v>
      </c>
      <c r="C204" s="10" t="s">
        <v>473</v>
      </c>
      <c r="D204" s="11" t="s">
        <v>500</v>
      </c>
      <c r="E204" s="7">
        <v>3835.7</v>
      </c>
      <c r="F204" s="7"/>
      <c r="G204" s="7"/>
      <c r="H204" s="8"/>
      <c r="I204" s="7">
        <f t="shared" ref="I204:I267" si="32">E204*1.0083*1.074</f>
        <v>4153.7299999999996</v>
      </c>
      <c r="J204" s="7">
        <f t="shared" si="22"/>
        <v>830.75</v>
      </c>
      <c r="K204" s="8">
        <f t="shared" si="23"/>
        <v>4984.4799999999996</v>
      </c>
    </row>
    <row r="205" spans="1:11" ht="18.75" x14ac:dyDescent="0.25">
      <c r="A205" s="6">
        <f t="shared" si="30"/>
        <v>193</v>
      </c>
      <c r="B205" s="6">
        <f t="shared" si="31"/>
        <v>193</v>
      </c>
      <c r="C205" s="10" t="s">
        <v>474</v>
      </c>
      <c r="D205" s="11" t="s">
        <v>499</v>
      </c>
      <c r="E205" s="7">
        <v>5369.72</v>
      </c>
      <c r="F205" s="7"/>
      <c r="G205" s="7"/>
      <c r="H205" s="8"/>
      <c r="I205" s="7">
        <f t="shared" si="32"/>
        <v>5814.95</v>
      </c>
      <c r="J205" s="7">
        <f t="shared" ref="J205:J268" si="33">I205*0.2</f>
        <v>1162.99</v>
      </c>
      <c r="K205" s="8">
        <f t="shared" ref="K205:K268" si="34">I205+J205</f>
        <v>6977.94</v>
      </c>
    </row>
    <row r="206" spans="1:11" ht="31.5" x14ac:dyDescent="0.25">
      <c r="A206" s="6">
        <f t="shared" si="30"/>
        <v>194</v>
      </c>
      <c r="B206" s="6">
        <f t="shared" si="31"/>
        <v>194</v>
      </c>
      <c r="C206" s="10" t="s">
        <v>475</v>
      </c>
      <c r="D206" s="11" t="s">
        <v>499</v>
      </c>
      <c r="E206" s="7">
        <v>1834.78</v>
      </c>
      <c r="F206" s="7"/>
      <c r="G206" s="7"/>
      <c r="H206" s="8"/>
      <c r="I206" s="7">
        <f t="shared" si="32"/>
        <v>1986.91</v>
      </c>
      <c r="J206" s="7">
        <f t="shared" si="33"/>
        <v>397.38</v>
      </c>
      <c r="K206" s="8">
        <f t="shared" si="34"/>
        <v>2384.29</v>
      </c>
    </row>
    <row r="207" spans="1:11" ht="18.75" x14ac:dyDescent="0.25">
      <c r="A207" s="6">
        <f t="shared" si="30"/>
        <v>195</v>
      </c>
      <c r="B207" s="6">
        <f t="shared" si="31"/>
        <v>195</v>
      </c>
      <c r="C207" s="12" t="s">
        <v>476</v>
      </c>
      <c r="D207" s="11" t="s">
        <v>499</v>
      </c>
      <c r="E207" s="7">
        <v>5404.7</v>
      </c>
      <c r="F207" s="7"/>
      <c r="G207" s="7"/>
      <c r="H207" s="8"/>
      <c r="I207" s="7">
        <f t="shared" si="32"/>
        <v>5852.83</v>
      </c>
      <c r="J207" s="7">
        <f t="shared" si="33"/>
        <v>1170.57</v>
      </c>
      <c r="K207" s="8">
        <f t="shared" si="34"/>
        <v>7023.4</v>
      </c>
    </row>
    <row r="208" spans="1:11" ht="18.75" x14ac:dyDescent="0.25">
      <c r="A208" s="6">
        <f t="shared" si="30"/>
        <v>196</v>
      </c>
      <c r="B208" s="6">
        <f t="shared" si="31"/>
        <v>196</v>
      </c>
      <c r="C208" s="10" t="s">
        <v>477</v>
      </c>
      <c r="D208" s="11" t="s">
        <v>499</v>
      </c>
      <c r="E208" s="7">
        <v>2069.44</v>
      </c>
      <c r="F208" s="7"/>
      <c r="G208" s="7"/>
      <c r="H208" s="8"/>
      <c r="I208" s="7">
        <f t="shared" si="32"/>
        <v>2241.0300000000002</v>
      </c>
      <c r="J208" s="7">
        <f t="shared" si="33"/>
        <v>448.21</v>
      </c>
      <c r="K208" s="8">
        <f t="shared" si="34"/>
        <v>2689.24</v>
      </c>
    </row>
    <row r="209" spans="1:11" ht="18.75" x14ac:dyDescent="0.25">
      <c r="A209" s="6">
        <f t="shared" si="30"/>
        <v>197</v>
      </c>
      <c r="B209" s="6">
        <f t="shared" si="31"/>
        <v>197</v>
      </c>
      <c r="C209" s="10" t="s">
        <v>478</v>
      </c>
      <c r="D209" s="11" t="s">
        <v>499</v>
      </c>
      <c r="E209" s="7">
        <v>46.25</v>
      </c>
      <c r="F209" s="7"/>
      <c r="G209" s="7"/>
      <c r="H209" s="8"/>
      <c r="I209" s="7">
        <f t="shared" si="32"/>
        <v>50.08</v>
      </c>
      <c r="J209" s="7">
        <f t="shared" si="33"/>
        <v>10.02</v>
      </c>
      <c r="K209" s="8">
        <f t="shared" si="34"/>
        <v>60.1</v>
      </c>
    </row>
    <row r="210" spans="1:11" ht="18.75" x14ac:dyDescent="0.25">
      <c r="A210" s="6">
        <f t="shared" si="30"/>
        <v>198</v>
      </c>
      <c r="B210" s="6">
        <f t="shared" si="31"/>
        <v>198</v>
      </c>
      <c r="C210" s="10" t="s">
        <v>479</v>
      </c>
      <c r="D210" s="11" t="s">
        <v>503</v>
      </c>
      <c r="E210" s="7">
        <v>43320.78</v>
      </c>
      <c r="F210" s="7"/>
      <c r="G210" s="7"/>
      <c r="H210" s="8"/>
      <c r="I210" s="7">
        <f t="shared" si="32"/>
        <v>46912.69</v>
      </c>
      <c r="J210" s="7">
        <f t="shared" si="33"/>
        <v>9382.5400000000009</v>
      </c>
      <c r="K210" s="8">
        <f t="shared" si="34"/>
        <v>56295.23</v>
      </c>
    </row>
    <row r="211" spans="1:11" ht="31.5" x14ac:dyDescent="0.25">
      <c r="A211" s="6">
        <f t="shared" si="30"/>
        <v>199</v>
      </c>
      <c r="B211" s="6">
        <f t="shared" si="31"/>
        <v>199</v>
      </c>
      <c r="C211" s="12" t="s">
        <v>480</v>
      </c>
      <c r="D211" s="11" t="s">
        <v>503</v>
      </c>
      <c r="E211" s="7">
        <v>42971.06</v>
      </c>
      <c r="F211" s="7"/>
      <c r="G211" s="7"/>
      <c r="H211" s="8"/>
      <c r="I211" s="7">
        <f t="shared" si="32"/>
        <v>46533.97</v>
      </c>
      <c r="J211" s="7">
        <f t="shared" si="33"/>
        <v>9306.7900000000009</v>
      </c>
      <c r="K211" s="8">
        <f t="shared" si="34"/>
        <v>55840.76</v>
      </c>
    </row>
    <row r="212" spans="1:11" ht="18.75" x14ac:dyDescent="0.25">
      <c r="A212" s="6">
        <f t="shared" si="30"/>
        <v>200</v>
      </c>
      <c r="B212" s="6">
        <f t="shared" si="31"/>
        <v>200</v>
      </c>
      <c r="C212" s="10" t="s">
        <v>481</v>
      </c>
      <c r="D212" s="11" t="s">
        <v>503</v>
      </c>
      <c r="E212" s="7">
        <v>69093.899999999994</v>
      </c>
      <c r="F212" s="7"/>
      <c r="G212" s="7"/>
      <c r="H212" s="8"/>
      <c r="I212" s="7">
        <f t="shared" si="32"/>
        <v>74822.77</v>
      </c>
      <c r="J212" s="7">
        <f t="shared" si="33"/>
        <v>14964.55</v>
      </c>
      <c r="K212" s="8">
        <f t="shared" si="34"/>
        <v>89787.32</v>
      </c>
    </row>
    <row r="213" spans="1:11" ht="31.5" x14ac:dyDescent="0.25">
      <c r="A213" s="6">
        <f t="shared" si="30"/>
        <v>201</v>
      </c>
      <c r="B213" s="6">
        <f t="shared" si="31"/>
        <v>201</v>
      </c>
      <c r="C213" s="10" t="s">
        <v>482</v>
      </c>
      <c r="D213" s="11" t="s">
        <v>503</v>
      </c>
      <c r="E213" s="7">
        <v>799528.54</v>
      </c>
      <c r="F213" s="7"/>
      <c r="G213" s="7"/>
      <c r="H213" s="8"/>
      <c r="I213" s="7">
        <f t="shared" si="32"/>
        <v>865820.81</v>
      </c>
      <c r="J213" s="7">
        <f t="shared" si="33"/>
        <v>173164.16</v>
      </c>
      <c r="K213" s="8">
        <f t="shared" si="34"/>
        <v>1038984.97</v>
      </c>
    </row>
    <row r="214" spans="1:11" ht="31.5" x14ac:dyDescent="0.25">
      <c r="A214" s="6">
        <f t="shared" ref="A214:B218" si="35">A213+1</f>
        <v>202</v>
      </c>
      <c r="B214" s="6">
        <f t="shared" si="35"/>
        <v>202</v>
      </c>
      <c r="C214" s="10" t="s">
        <v>483</v>
      </c>
      <c r="D214" s="11" t="s">
        <v>503</v>
      </c>
      <c r="E214" s="7">
        <v>972979.36</v>
      </c>
      <c r="F214" s="7"/>
      <c r="G214" s="7"/>
      <c r="H214" s="8"/>
      <c r="I214" s="7">
        <f t="shared" si="32"/>
        <v>1053653.17</v>
      </c>
      <c r="J214" s="7">
        <f t="shared" si="33"/>
        <v>210730.63</v>
      </c>
      <c r="K214" s="8">
        <f t="shared" si="34"/>
        <v>1264383.8</v>
      </c>
    </row>
    <row r="215" spans="1:11" ht="18.75" x14ac:dyDescent="0.25">
      <c r="A215" s="6">
        <f t="shared" si="35"/>
        <v>203</v>
      </c>
      <c r="B215" s="6">
        <f t="shared" si="35"/>
        <v>203</v>
      </c>
      <c r="C215" s="10" t="s">
        <v>484</v>
      </c>
      <c r="D215" s="11" t="s">
        <v>494</v>
      </c>
      <c r="E215" s="7">
        <v>12870.7</v>
      </c>
      <c r="F215" s="7"/>
      <c r="G215" s="7"/>
      <c r="H215" s="8"/>
      <c r="I215" s="7">
        <f t="shared" si="32"/>
        <v>13937.86</v>
      </c>
      <c r="J215" s="7">
        <f t="shared" si="33"/>
        <v>2787.57</v>
      </c>
      <c r="K215" s="8">
        <f t="shared" si="34"/>
        <v>16725.43</v>
      </c>
    </row>
    <row r="216" spans="1:11" ht="31.5" x14ac:dyDescent="0.25">
      <c r="A216" s="6">
        <f t="shared" si="35"/>
        <v>204</v>
      </c>
      <c r="B216" s="6">
        <f t="shared" si="35"/>
        <v>204</v>
      </c>
      <c r="C216" s="10" t="s">
        <v>1</v>
      </c>
      <c r="D216" s="11" t="s">
        <v>502</v>
      </c>
      <c r="E216" s="7">
        <v>290896.65999999997</v>
      </c>
      <c r="F216" s="7"/>
      <c r="G216" s="7"/>
      <c r="H216" s="8"/>
      <c r="I216" s="7">
        <f t="shared" si="32"/>
        <v>315016.12</v>
      </c>
      <c r="J216" s="7">
        <f t="shared" si="33"/>
        <v>63003.22</v>
      </c>
      <c r="K216" s="8">
        <f t="shared" si="34"/>
        <v>378019.34</v>
      </c>
    </row>
    <row r="217" spans="1:11" ht="31.5" x14ac:dyDescent="0.25">
      <c r="A217" s="6">
        <f t="shared" si="35"/>
        <v>205</v>
      </c>
      <c r="B217" s="6">
        <f t="shared" si="35"/>
        <v>205</v>
      </c>
      <c r="C217" s="10" t="s">
        <v>2</v>
      </c>
      <c r="D217" s="11" t="s">
        <v>502</v>
      </c>
      <c r="E217" s="7">
        <v>324732.59000000003</v>
      </c>
      <c r="F217" s="7"/>
      <c r="G217" s="7"/>
      <c r="H217" s="8"/>
      <c r="I217" s="7">
        <f t="shared" si="32"/>
        <v>351657.53</v>
      </c>
      <c r="J217" s="7">
        <f t="shared" si="33"/>
        <v>70331.509999999995</v>
      </c>
      <c r="K217" s="8">
        <f t="shared" si="34"/>
        <v>421989.04</v>
      </c>
    </row>
    <row r="218" spans="1:11" ht="31.5" x14ac:dyDescent="0.25">
      <c r="A218" s="6">
        <f t="shared" si="35"/>
        <v>206</v>
      </c>
      <c r="B218" s="6">
        <f t="shared" si="35"/>
        <v>206</v>
      </c>
      <c r="C218" s="10" t="s">
        <v>3</v>
      </c>
      <c r="D218" s="11" t="s">
        <v>503</v>
      </c>
      <c r="E218" s="7">
        <v>1234400.8500000001</v>
      </c>
      <c r="F218" s="7"/>
      <c r="G218" s="7"/>
      <c r="H218" s="8"/>
      <c r="I218" s="7">
        <f t="shared" si="32"/>
        <v>1336750.21</v>
      </c>
      <c r="J218" s="7">
        <f t="shared" si="33"/>
        <v>267350.03999999998</v>
      </c>
      <c r="K218" s="8">
        <f t="shared" si="34"/>
        <v>1604100.25</v>
      </c>
    </row>
    <row r="219" spans="1:11" ht="31.5" x14ac:dyDescent="0.25">
      <c r="A219" s="6">
        <f t="shared" ref="A219:A238" si="36">A218+1</f>
        <v>207</v>
      </c>
      <c r="B219" s="6">
        <f t="shared" ref="B219:B238" si="37">B218+1</f>
        <v>207</v>
      </c>
      <c r="C219" s="10" t="s">
        <v>4</v>
      </c>
      <c r="D219" s="11" t="s">
        <v>503</v>
      </c>
      <c r="E219" s="7">
        <v>1307554.28</v>
      </c>
      <c r="F219" s="7"/>
      <c r="G219" s="7"/>
      <c r="H219" s="8"/>
      <c r="I219" s="7">
        <f t="shared" si="32"/>
        <v>1415969.1</v>
      </c>
      <c r="J219" s="7">
        <f t="shared" si="33"/>
        <v>283193.82</v>
      </c>
      <c r="K219" s="8">
        <f t="shared" si="34"/>
        <v>1699162.92</v>
      </c>
    </row>
    <row r="220" spans="1:11" ht="31.5" x14ac:dyDescent="0.25">
      <c r="A220" s="6">
        <f t="shared" si="36"/>
        <v>208</v>
      </c>
      <c r="B220" s="6">
        <f t="shared" si="37"/>
        <v>208</v>
      </c>
      <c r="C220" s="10" t="s">
        <v>5</v>
      </c>
      <c r="D220" s="11" t="s">
        <v>503</v>
      </c>
      <c r="E220" s="7">
        <v>1082636.73</v>
      </c>
      <c r="F220" s="7"/>
      <c r="G220" s="7"/>
      <c r="H220" s="8"/>
      <c r="I220" s="7">
        <f t="shared" si="32"/>
        <v>1172402.69</v>
      </c>
      <c r="J220" s="7">
        <f t="shared" si="33"/>
        <v>234480.54</v>
      </c>
      <c r="K220" s="8">
        <f t="shared" si="34"/>
        <v>1406883.23</v>
      </c>
    </row>
    <row r="221" spans="1:11" ht="31.5" x14ac:dyDescent="0.25">
      <c r="A221" s="6">
        <f t="shared" si="36"/>
        <v>209</v>
      </c>
      <c r="B221" s="6">
        <f t="shared" si="37"/>
        <v>209</v>
      </c>
      <c r="C221" s="10" t="s">
        <v>6</v>
      </c>
      <c r="D221" s="11" t="s">
        <v>503</v>
      </c>
      <c r="E221" s="7">
        <v>1133836.1100000001</v>
      </c>
      <c r="F221" s="7"/>
      <c r="G221" s="7"/>
      <c r="H221" s="8"/>
      <c r="I221" s="7">
        <f t="shared" si="32"/>
        <v>1227847.22</v>
      </c>
      <c r="J221" s="7">
        <f t="shared" si="33"/>
        <v>245569.44</v>
      </c>
      <c r="K221" s="8">
        <f t="shared" si="34"/>
        <v>1473416.66</v>
      </c>
    </row>
    <row r="222" spans="1:11" ht="18.75" x14ac:dyDescent="0.25">
      <c r="A222" s="6">
        <f t="shared" si="36"/>
        <v>210</v>
      </c>
      <c r="B222" s="6">
        <f t="shared" si="37"/>
        <v>210</v>
      </c>
      <c r="C222" s="10" t="s">
        <v>7</v>
      </c>
      <c r="D222" s="11" t="s">
        <v>503</v>
      </c>
      <c r="E222" s="7">
        <v>463719.04</v>
      </c>
      <c r="F222" s="7"/>
      <c r="G222" s="7"/>
      <c r="H222" s="8"/>
      <c r="I222" s="7">
        <f t="shared" si="32"/>
        <v>502167.93</v>
      </c>
      <c r="J222" s="7">
        <f t="shared" si="33"/>
        <v>100433.59</v>
      </c>
      <c r="K222" s="8">
        <f t="shared" si="34"/>
        <v>602601.52</v>
      </c>
    </row>
    <row r="223" spans="1:11" ht="18.75" x14ac:dyDescent="0.25">
      <c r="A223" s="6">
        <f t="shared" si="36"/>
        <v>211</v>
      </c>
      <c r="B223" s="6">
        <f t="shared" si="37"/>
        <v>211</v>
      </c>
      <c r="C223" s="10" t="s">
        <v>8</v>
      </c>
      <c r="D223" s="11" t="s">
        <v>503</v>
      </c>
      <c r="E223" s="7">
        <v>928117.15</v>
      </c>
      <c r="F223" s="7"/>
      <c r="G223" s="7"/>
      <c r="H223" s="8"/>
      <c r="I223" s="7">
        <f t="shared" si="32"/>
        <v>1005071.24</v>
      </c>
      <c r="J223" s="7">
        <f t="shared" si="33"/>
        <v>201014.25</v>
      </c>
      <c r="K223" s="8">
        <f t="shared" si="34"/>
        <v>1206085.49</v>
      </c>
    </row>
    <row r="224" spans="1:11" ht="31.5" x14ac:dyDescent="0.25">
      <c r="A224" s="6">
        <f t="shared" si="36"/>
        <v>212</v>
      </c>
      <c r="B224" s="6">
        <f t="shared" si="37"/>
        <v>212</v>
      </c>
      <c r="C224" s="10" t="s">
        <v>9</v>
      </c>
      <c r="D224" s="11" t="s">
        <v>503</v>
      </c>
      <c r="E224" s="7">
        <v>601934.82999999996</v>
      </c>
      <c r="F224" s="7"/>
      <c r="G224" s="7"/>
      <c r="H224" s="8"/>
      <c r="I224" s="7">
        <f t="shared" si="32"/>
        <v>651843.77</v>
      </c>
      <c r="J224" s="7">
        <f t="shared" si="33"/>
        <v>130368.75</v>
      </c>
      <c r="K224" s="8">
        <f t="shared" si="34"/>
        <v>782212.52</v>
      </c>
    </row>
    <row r="225" spans="1:11" ht="18.75" x14ac:dyDescent="0.25">
      <c r="A225" s="6">
        <f t="shared" si="36"/>
        <v>213</v>
      </c>
      <c r="B225" s="6">
        <f t="shared" si="37"/>
        <v>213</v>
      </c>
      <c r="C225" s="10" t="s">
        <v>10</v>
      </c>
      <c r="D225" s="11" t="s">
        <v>494</v>
      </c>
      <c r="E225" s="7">
        <v>2739.65</v>
      </c>
      <c r="F225" s="7"/>
      <c r="G225" s="7"/>
      <c r="H225" s="8"/>
      <c r="I225" s="7">
        <f t="shared" si="32"/>
        <v>2966.81</v>
      </c>
      <c r="J225" s="7">
        <f t="shared" si="33"/>
        <v>593.36</v>
      </c>
      <c r="K225" s="8">
        <f t="shared" si="34"/>
        <v>3560.17</v>
      </c>
    </row>
    <row r="226" spans="1:11" ht="31.5" x14ac:dyDescent="0.25">
      <c r="A226" s="6">
        <f t="shared" si="36"/>
        <v>214</v>
      </c>
      <c r="B226" s="6">
        <f t="shared" si="37"/>
        <v>214</v>
      </c>
      <c r="C226" s="10" t="s">
        <v>11</v>
      </c>
      <c r="D226" s="11" t="s">
        <v>494</v>
      </c>
      <c r="E226" s="7">
        <v>2565.67</v>
      </c>
      <c r="F226" s="7"/>
      <c r="G226" s="7"/>
      <c r="H226" s="8"/>
      <c r="I226" s="7">
        <f t="shared" si="32"/>
        <v>2778.4</v>
      </c>
      <c r="J226" s="7">
        <f t="shared" si="33"/>
        <v>555.67999999999995</v>
      </c>
      <c r="K226" s="8">
        <f t="shared" si="34"/>
        <v>3334.08</v>
      </c>
    </row>
    <row r="227" spans="1:11" ht="31.5" x14ac:dyDescent="0.25">
      <c r="A227" s="6">
        <f t="shared" si="36"/>
        <v>215</v>
      </c>
      <c r="B227" s="6">
        <f t="shared" si="37"/>
        <v>215</v>
      </c>
      <c r="C227" s="10" t="s">
        <v>12</v>
      </c>
      <c r="D227" s="11" t="s">
        <v>494</v>
      </c>
      <c r="E227" s="7">
        <v>22287.67</v>
      </c>
      <c r="F227" s="7"/>
      <c r="G227" s="7"/>
      <c r="H227" s="8"/>
      <c r="I227" s="7">
        <f t="shared" si="32"/>
        <v>24135.63</v>
      </c>
      <c r="J227" s="7">
        <f t="shared" si="33"/>
        <v>4827.13</v>
      </c>
      <c r="K227" s="8">
        <f t="shared" si="34"/>
        <v>28962.76</v>
      </c>
    </row>
    <row r="228" spans="1:11" ht="31.5" x14ac:dyDescent="0.25">
      <c r="A228" s="6">
        <f t="shared" si="36"/>
        <v>216</v>
      </c>
      <c r="B228" s="6">
        <f t="shared" si="37"/>
        <v>216</v>
      </c>
      <c r="C228" s="10" t="s">
        <v>13</v>
      </c>
      <c r="D228" s="11" t="s">
        <v>494</v>
      </c>
      <c r="E228" s="7">
        <v>12051</v>
      </c>
      <c r="F228" s="7"/>
      <c r="G228" s="7"/>
      <c r="H228" s="8"/>
      <c r="I228" s="7">
        <f t="shared" si="32"/>
        <v>13050.2</v>
      </c>
      <c r="J228" s="7">
        <f t="shared" si="33"/>
        <v>2610.04</v>
      </c>
      <c r="K228" s="8">
        <f t="shared" si="34"/>
        <v>15660.24</v>
      </c>
    </row>
    <row r="229" spans="1:11" ht="31.5" x14ac:dyDescent="0.25">
      <c r="A229" s="6">
        <f t="shared" si="36"/>
        <v>217</v>
      </c>
      <c r="B229" s="6">
        <f t="shared" si="37"/>
        <v>217</v>
      </c>
      <c r="C229" s="10" t="s">
        <v>14</v>
      </c>
      <c r="D229" s="11" t="s">
        <v>493</v>
      </c>
      <c r="E229" s="7">
        <v>14065.4</v>
      </c>
      <c r="F229" s="7"/>
      <c r="G229" s="7"/>
      <c r="H229" s="8"/>
      <c r="I229" s="7">
        <f t="shared" si="32"/>
        <v>15231.62</v>
      </c>
      <c r="J229" s="7">
        <f t="shared" si="33"/>
        <v>3046.32</v>
      </c>
      <c r="K229" s="8">
        <f t="shared" si="34"/>
        <v>18277.939999999999</v>
      </c>
    </row>
    <row r="230" spans="1:11" ht="18.75" x14ac:dyDescent="0.25">
      <c r="A230" s="6">
        <f t="shared" si="36"/>
        <v>218</v>
      </c>
      <c r="B230" s="6">
        <f t="shared" si="37"/>
        <v>218</v>
      </c>
      <c r="C230" s="12" t="s">
        <v>15</v>
      </c>
      <c r="D230" s="11" t="s">
        <v>493</v>
      </c>
      <c r="E230" s="7">
        <v>14065.4</v>
      </c>
      <c r="F230" s="7"/>
      <c r="G230" s="7"/>
      <c r="H230" s="8"/>
      <c r="I230" s="7">
        <f t="shared" si="32"/>
        <v>15231.62</v>
      </c>
      <c r="J230" s="7">
        <f t="shared" si="33"/>
        <v>3046.32</v>
      </c>
      <c r="K230" s="8">
        <f t="shared" si="34"/>
        <v>18277.939999999999</v>
      </c>
    </row>
    <row r="231" spans="1:11" ht="31.5" x14ac:dyDescent="0.25">
      <c r="A231" s="6">
        <f t="shared" si="36"/>
        <v>219</v>
      </c>
      <c r="B231" s="6">
        <f t="shared" si="37"/>
        <v>219</v>
      </c>
      <c r="C231" s="10" t="s">
        <v>16</v>
      </c>
      <c r="D231" s="11" t="s">
        <v>493</v>
      </c>
      <c r="E231" s="7">
        <v>710.57</v>
      </c>
      <c r="F231" s="7"/>
      <c r="G231" s="7"/>
      <c r="H231" s="8"/>
      <c r="I231" s="7">
        <f t="shared" si="32"/>
        <v>769.49</v>
      </c>
      <c r="J231" s="7">
        <f t="shared" si="33"/>
        <v>153.9</v>
      </c>
      <c r="K231" s="8">
        <f t="shared" si="34"/>
        <v>923.39</v>
      </c>
    </row>
    <row r="232" spans="1:11" ht="31.5" x14ac:dyDescent="0.25">
      <c r="A232" s="6">
        <f t="shared" si="36"/>
        <v>220</v>
      </c>
      <c r="B232" s="6">
        <f t="shared" si="37"/>
        <v>220</v>
      </c>
      <c r="C232" s="10" t="s">
        <v>17</v>
      </c>
      <c r="D232" s="11" t="s">
        <v>493</v>
      </c>
      <c r="E232" s="7">
        <v>436.97</v>
      </c>
      <c r="F232" s="7"/>
      <c r="G232" s="7"/>
      <c r="H232" s="8"/>
      <c r="I232" s="7">
        <f t="shared" si="32"/>
        <v>473.2</v>
      </c>
      <c r="J232" s="7">
        <f t="shared" si="33"/>
        <v>94.64</v>
      </c>
      <c r="K232" s="8">
        <f t="shared" si="34"/>
        <v>567.84</v>
      </c>
    </row>
    <row r="233" spans="1:11" ht="18.75" x14ac:dyDescent="0.25">
      <c r="A233" s="6">
        <f t="shared" si="36"/>
        <v>221</v>
      </c>
      <c r="B233" s="6">
        <f t="shared" si="37"/>
        <v>221</v>
      </c>
      <c r="C233" s="12" t="s">
        <v>18</v>
      </c>
      <c r="D233" s="11" t="s">
        <v>494</v>
      </c>
      <c r="E233" s="7">
        <v>40.770000000000003</v>
      </c>
      <c r="F233" s="7"/>
      <c r="G233" s="7"/>
      <c r="H233" s="8"/>
      <c r="I233" s="7">
        <f t="shared" si="32"/>
        <v>44.15</v>
      </c>
      <c r="J233" s="7">
        <f t="shared" si="33"/>
        <v>8.83</v>
      </c>
      <c r="K233" s="8">
        <f t="shared" si="34"/>
        <v>52.98</v>
      </c>
    </row>
    <row r="234" spans="1:11" ht="18.75" x14ac:dyDescent="0.25">
      <c r="A234" s="6">
        <f t="shared" si="36"/>
        <v>222</v>
      </c>
      <c r="B234" s="6">
        <f t="shared" si="37"/>
        <v>222</v>
      </c>
      <c r="C234" s="12" t="s">
        <v>19</v>
      </c>
      <c r="D234" s="11" t="s">
        <v>494</v>
      </c>
      <c r="E234" s="7">
        <v>40.770000000000003</v>
      </c>
      <c r="F234" s="7"/>
      <c r="G234" s="7"/>
      <c r="H234" s="8"/>
      <c r="I234" s="7">
        <f t="shared" si="32"/>
        <v>44.15</v>
      </c>
      <c r="J234" s="7">
        <f t="shared" si="33"/>
        <v>8.83</v>
      </c>
      <c r="K234" s="8">
        <f t="shared" si="34"/>
        <v>52.98</v>
      </c>
    </row>
    <row r="235" spans="1:11" ht="18.75" x14ac:dyDescent="0.25">
      <c r="A235" s="6">
        <f t="shared" si="36"/>
        <v>223</v>
      </c>
      <c r="B235" s="6">
        <f t="shared" si="37"/>
        <v>223</v>
      </c>
      <c r="C235" s="12" t="s">
        <v>20</v>
      </c>
      <c r="D235" s="11" t="s">
        <v>494</v>
      </c>
      <c r="E235" s="7">
        <v>40.770000000000003</v>
      </c>
      <c r="F235" s="7"/>
      <c r="G235" s="7"/>
      <c r="H235" s="8"/>
      <c r="I235" s="7">
        <f t="shared" si="32"/>
        <v>44.15</v>
      </c>
      <c r="J235" s="7">
        <f t="shared" si="33"/>
        <v>8.83</v>
      </c>
      <c r="K235" s="8">
        <f t="shared" si="34"/>
        <v>52.98</v>
      </c>
    </row>
    <row r="236" spans="1:11" ht="18.75" x14ac:dyDescent="0.25">
      <c r="A236" s="6">
        <f t="shared" si="36"/>
        <v>224</v>
      </c>
      <c r="B236" s="6">
        <f t="shared" si="37"/>
        <v>224</v>
      </c>
      <c r="C236" s="10" t="s">
        <v>21</v>
      </c>
      <c r="D236" s="11" t="s">
        <v>502</v>
      </c>
      <c r="E236" s="7">
        <v>1782.43</v>
      </c>
      <c r="F236" s="7"/>
      <c r="G236" s="7"/>
      <c r="H236" s="8"/>
      <c r="I236" s="7">
        <f t="shared" si="32"/>
        <v>1930.22</v>
      </c>
      <c r="J236" s="7">
        <f t="shared" si="33"/>
        <v>386.04</v>
      </c>
      <c r="K236" s="8">
        <f t="shared" si="34"/>
        <v>2316.2600000000002</v>
      </c>
    </row>
    <row r="237" spans="1:11" ht="18.75" x14ac:dyDescent="0.25">
      <c r="A237" s="6">
        <f t="shared" si="36"/>
        <v>225</v>
      </c>
      <c r="B237" s="6">
        <f t="shared" si="37"/>
        <v>225</v>
      </c>
      <c r="C237" s="10" t="s">
        <v>22</v>
      </c>
      <c r="D237" s="11" t="s">
        <v>502</v>
      </c>
      <c r="E237" s="7">
        <v>549.44000000000005</v>
      </c>
      <c r="F237" s="7"/>
      <c r="G237" s="7"/>
      <c r="H237" s="8"/>
      <c r="I237" s="7">
        <f t="shared" si="32"/>
        <v>595</v>
      </c>
      <c r="J237" s="7">
        <f t="shared" si="33"/>
        <v>119</v>
      </c>
      <c r="K237" s="8">
        <f t="shared" si="34"/>
        <v>714</v>
      </c>
    </row>
    <row r="238" spans="1:11" ht="18.75" x14ac:dyDescent="0.25">
      <c r="A238" s="6">
        <f t="shared" si="36"/>
        <v>226</v>
      </c>
      <c r="B238" s="6">
        <f t="shared" si="37"/>
        <v>226</v>
      </c>
      <c r="C238" s="10" t="s">
        <v>23</v>
      </c>
      <c r="D238" s="11" t="s">
        <v>494</v>
      </c>
      <c r="E238" s="7">
        <v>164.89</v>
      </c>
      <c r="F238" s="7"/>
      <c r="G238" s="7"/>
      <c r="H238" s="8"/>
      <c r="I238" s="7">
        <f t="shared" si="32"/>
        <v>178.56</v>
      </c>
      <c r="J238" s="7">
        <f t="shared" si="33"/>
        <v>35.71</v>
      </c>
      <c r="K238" s="8">
        <f t="shared" si="34"/>
        <v>214.27</v>
      </c>
    </row>
    <row r="239" spans="1:11" ht="18.75" x14ac:dyDescent="0.25">
      <c r="A239" s="6">
        <f t="shared" ref="A239:B254" si="38">A238+1</f>
        <v>227</v>
      </c>
      <c r="B239" s="6">
        <f t="shared" si="38"/>
        <v>227</v>
      </c>
      <c r="C239" s="10" t="s">
        <v>24</v>
      </c>
      <c r="D239" s="11" t="s">
        <v>494</v>
      </c>
      <c r="E239" s="7">
        <v>164.89</v>
      </c>
      <c r="F239" s="7"/>
      <c r="G239" s="7"/>
      <c r="H239" s="8"/>
      <c r="I239" s="7">
        <f t="shared" si="32"/>
        <v>178.56</v>
      </c>
      <c r="J239" s="7">
        <f t="shared" si="33"/>
        <v>35.71</v>
      </c>
      <c r="K239" s="8">
        <f t="shared" si="34"/>
        <v>214.27</v>
      </c>
    </row>
    <row r="240" spans="1:11" ht="31.5" x14ac:dyDescent="0.25">
      <c r="A240" s="6">
        <f t="shared" ref="A240:A251" si="39">A239+1</f>
        <v>228</v>
      </c>
      <c r="B240" s="6">
        <f t="shared" si="38"/>
        <v>228</v>
      </c>
      <c r="C240" s="10" t="s">
        <v>25</v>
      </c>
      <c r="D240" s="11" t="s">
        <v>494</v>
      </c>
      <c r="E240" s="7">
        <v>2434.83</v>
      </c>
      <c r="F240" s="7"/>
      <c r="G240" s="7"/>
      <c r="H240" s="8"/>
      <c r="I240" s="7">
        <f t="shared" si="32"/>
        <v>2636.71</v>
      </c>
      <c r="J240" s="7">
        <f t="shared" si="33"/>
        <v>527.34</v>
      </c>
      <c r="K240" s="8">
        <f t="shared" si="34"/>
        <v>3164.05</v>
      </c>
    </row>
    <row r="241" spans="1:11" ht="18.75" x14ac:dyDescent="0.25">
      <c r="A241" s="6">
        <f t="shared" si="39"/>
        <v>229</v>
      </c>
      <c r="B241" s="6">
        <f t="shared" si="38"/>
        <v>229</v>
      </c>
      <c r="C241" s="10" t="s">
        <v>26</v>
      </c>
      <c r="D241" s="11" t="s">
        <v>494</v>
      </c>
      <c r="E241" s="7">
        <v>3837.07</v>
      </c>
      <c r="F241" s="7"/>
      <c r="G241" s="7"/>
      <c r="H241" s="8"/>
      <c r="I241" s="7">
        <f t="shared" si="32"/>
        <v>4155.22</v>
      </c>
      <c r="J241" s="7">
        <f t="shared" si="33"/>
        <v>831.04</v>
      </c>
      <c r="K241" s="8">
        <f t="shared" si="34"/>
        <v>4986.26</v>
      </c>
    </row>
    <row r="242" spans="1:11" ht="31.5" x14ac:dyDescent="0.25">
      <c r="A242" s="6">
        <f t="shared" si="39"/>
        <v>230</v>
      </c>
      <c r="B242" s="6">
        <f t="shared" si="38"/>
        <v>230</v>
      </c>
      <c r="C242" s="10" t="s">
        <v>27</v>
      </c>
      <c r="D242" s="11" t="s">
        <v>494</v>
      </c>
      <c r="E242" s="7">
        <v>3279.29</v>
      </c>
      <c r="F242" s="7"/>
      <c r="G242" s="7"/>
      <c r="H242" s="8"/>
      <c r="I242" s="7">
        <f t="shared" si="32"/>
        <v>3551.19</v>
      </c>
      <c r="J242" s="7">
        <f t="shared" si="33"/>
        <v>710.24</v>
      </c>
      <c r="K242" s="8">
        <f t="shared" si="34"/>
        <v>4261.43</v>
      </c>
    </row>
    <row r="243" spans="1:11" ht="18.75" x14ac:dyDescent="0.25">
      <c r="A243" s="6">
        <f t="shared" si="39"/>
        <v>231</v>
      </c>
      <c r="B243" s="6">
        <f t="shared" si="38"/>
        <v>231</v>
      </c>
      <c r="C243" s="10" t="s">
        <v>28</v>
      </c>
      <c r="D243" s="11" t="s">
        <v>500</v>
      </c>
      <c r="E243" s="7">
        <v>523567.33</v>
      </c>
      <c r="F243" s="7"/>
      <c r="G243" s="7"/>
      <c r="H243" s="8"/>
      <c r="I243" s="7">
        <f t="shared" si="32"/>
        <v>566978.5</v>
      </c>
      <c r="J243" s="7">
        <f t="shared" si="33"/>
        <v>113395.7</v>
      </c>
      <c r="K243" s="8">
        <f t="shared" si="34"/>
        <v>680374.2</v>
      </c>
    </row>
    <row r="244" spans="1:11" ht="18.75" x14ac:dyDescent="0.25">
      <c r="A244" s="6">
        <f t="shared" si="39"/>
        <v>232</v>
      </c>
      <c r="B244" s="6">
        <f t="shared" si="38"/>
        <v>232</v>
      </c>
      <c r="C244" s="10" t="s">
        <v>29</v>
      </c>
      <c r="D244" s="11" t="s">
        <v>500</v>
      </c>
      <c r="E244" s="7">
        <v>528354.51</v>
      </c>
      <c r="F244" s="7"/>
      <c r="G244" s="7"/>
      <c r="H244" s="8"/>
      <c r="I244" s="7">
        <f t="shared" si="32"/>
        <v>572162.6</v>
      </c>
      <c r="J244" s="7">
        <f t="shared" si="33"/>
        <v>114432.52</v>
      </c>
      <c r="K244" s="8">
        <f t="shared" si="34"/>
        <v>686595.12</v>
      </c>
    </row>
    <row r="245" spans="1:11" ht="18.75" x14ac:dyDescent="0.25">
      <c r="A245" s="6">
        <f t="shared" si="39"/>
        <v>233</v>
      </c>
      <c r="B245" s="6">
        <f t="shared" si="38"/>
        <v>233</v>
      </c>
      <c r="C245" s="10" t="s">
        <v>30</v>
      </c>
      <c r="D245" s="11" t="s">
        <v>500</v>
      </c>
      <c r="E245" s="7">
        <v>33840.39</v>
      </c>
      <c r="F245" s="7"/>
      <c r="G245" s="7"/>
      <c r="H245" s="8"/>
      <c r="I245" s="7">
        <f t="shared" si="32"/>
        <v>36646.239999999998</v>
      </c>
      <c r="J245" s="7">
        <f t="shared" si="33"/>
        <v>7329.25</v>
      </c>
      <c r="K245" s="8">
        <f t="shared" si="34"/>
        <v>43975.49</v>
      </c>
    </row>
    <row r="246" spans="1:11" ht="18.75" x14ac:dyDescent="0.25">
      <c r="A246" s="6">
        <f t="shared" si="39"/>
        <v>234</v>
      </c>
      <c r="B246" s="6">
        <f t="shared" si="38"/>
        <v>234</v>
      </c>
      <c r="C246" s="10" t="s">
        <v>31</v>
      </c>
      <c r="D246" s="11" t="s">
        <v>500</v>
      </c>
      <c r="E246" s="7">
        <v>10771.43</v>
      </c>
      <c r="F246" s="7"/>
      <c r="G246" s="7"/>
      <c r="H246" s="8"/>
      <c r="I246" s="7">
        <f t="shared" si="32"/>
        <v>11664.53</v>
      </c>
      <c r="J246" s="7">
        <f t="shared" si="33"/>
        <v>2332.91</v>
      </c>
      <c r="K246" s="8">
        <f t="shared" si="34"/>
        <v>13997.44</v>
      </c>
    </row>
    <row r="247" spans="1:11" ht="18.75" x14ac:dyDescent="0.25">
      <c r="A247" s="6">
        <f t="shared" si="39"/>
        <v>235</v>
      </c>
      <c r="B247" s="6">
        <f t="shared" si="38"/>
        <v>235</v>
      </c>
      <c r="C247" s="10" t="s">
        <v>32</v>
      </c>
      <c r="D247" s="11" t="s">
        <v>500</v>
      </c>
      <c r="E247" s="7">
        <v>1037.24</v>
      </c>
      <c r="F247" s="7"/>
      <c r="G247" s="7"/>
      <c r="H247" s="8"/>
      <c r="I247" s="7">
        <f t="shared" si="32"/>
        <v>1123.24</v>
      </c>
      <c r="J247" s="7">
        <f t="shared" si="33"/>
        <v>224.65</v>
      </c>
      <c r="K247" s="8">
        <f t="shared" si="34"/>
        <v>1347.89</v>
      </c>
    </row>
    <row r="248" spans="1:11" ht="18.75" x14ac:dyDescent="0.25">
      <c r="A248" s="6">
        <f t="shared" si="39"/>
        <v>236</v>
      </c>
      <c r="B248" s="6">
        <f t="shared" si="38"/>
        <v>236</v>
      </c>
      <c r="C248" s="10" t="s">
        <v>33</v>
      </c>
      <c r="D248" s="11" t="s">
        <v>500</v>
      </c>
      <c r="E248" s="7">
        <v>1188.94</v>
      </c>
      <c r="F248" s="7"/>
      <c r="G248" s="7"/>
      <c r="H248" s="8"/>
      <c r="I248" s="7">
        <f t="shared" si="32"/>
        <v>1287.52</v>
      </c>
      <c r="J248" s="7">
        <f t="shared" si="33"/>
        <v>257.5</v>
      </c>
      <c r="K248" s="8">
        <f t="shared" si="34"/>
        <v>1545.02</v>
      </c>
    </row>
    <row r="249" spans="1:11" ht="18.75" x14ac:dyDescent="0.25">
      <c r="A249" s="6">
        <f t="shared" si="39"/>
        <v>237</v>
      </c>
      <c r="B249" s="6">
        <f t="shared" si="38"/>
        <v>237</v>
      </c>
      <c r="C249" s="10" t="s">
        <v>34</v>
      </c>
      <c r="D249" s="11" t="s">
        <v>500</v>
      </c>
      <c r="E249" s="7">
        <v>6850.19</v>
      </c>
      <c r="F249" s="7"/>
      <c r="G249" s="7"/>
      <c r="H249" s="8"/>
      <c r="I249" s="7">
        <f t="shared" si="32"/>
        <v>7418.17</v>
      </c>
      <c r="J249" s="7">
        <f t="shared" si="33"/>
        <v>1483.63</v>
      </c>
      <c r="K249" s="8">
        <f t="shared" si="34"/>
        <v>8901.7999999999993</v>
      </c>
    </row>
    <row r="250" spans="1:11" ht="18.75" x14ac:dyDescent="0.25">
      <c r="A250" s="6">
        <f t="shared" si="39"/>
        <v>238</v>
      </c>
      <c r="B250" s="6">
        <f t="shared" si="38"/>
        <v>238</v>
      </c>
      <c r="C250" s="10" t="s">
        <v>35</v>
      </c>
      <c r="D250" s="11" t="s">
        <v>500</v>
      </c>
      <c r="E250" s="7">
        <v>2894.76</v>
      </c>
      <c r="F250" s="7"/>
      <c r="G250" s="7"/>
      <c r="H250" s="8"/>
      <c r="I250" s="7">
        <f t="shared" si="32"/>
        <v>3134.78</v>
      </c>
      <c r="J250" s="7">
        <f t="shared" si="33"/>
        <v>626.96</v>
      </c>
      <c r="K250" s="8">
        <f t="shared" si="34"/>
        <v>3761.74</v>
      </c>
    </row>
    <row r="251" spans="1:11" ht="18.75" x14ac:dyDescent="0.25">
      <c r="A251" s="6">
        <f t="shared" si="39"/>
        <v>239</v>
      </c>
      <c r="B251" s="6">
        <f t="shared" si="38"/>
        <v>239</v>
      </c>
      <c r="C251" s="10" t="s">
        <v>36</v>
      </c>
      <c r="D251" s="11" t="s">
        <v>500</v>
      </c>
      <c r="E251" s="7">
        <v>3316.05</v>
      </c>
      <c r="F251" s="7"/>
      <c r="G251" s="7"/>
      <c r="H251" s="8"/>
      <c r="I251" s="7">
        <f t="shared" si="32"/>
        <v>3591</v>
      </c>
      <c r="J251" s="7">
        <f t="shared" si="33"/>
        <v>718.2</v>
      </c>
      <c r="K251" s="8">
        <f t="shared" si="34"/>
        <v>4309.2</v>
      </c>
    </row>
    <row r="252" spans="1:11" ht="18.75" x14ac:dyDescent="0.25">
      <c r="A252" s="6">
        <f t="shared" ref="A252:B267" si="40">A251+1</f>
        <v>240</v>
      </c>
      <c r="B252" s="6">
        <f t="shared" si="38"/>
        <v>240</v>
      </c>
      <c r="C252" s="10" t="s">
        <v>37</v>
      </c>
      <c r="D252" s="11" t="s">
        <v>494</v>
      </c>
      <c r="E252" s="7">
        <v>2494</v>
      </c>
      <c r="F252" s="7"/>
      <c r="G252" s="7"/>
      <c r="H252" s="8"/>
      <c r="I252" s="7">
        <f t="shared" si="32"/>
        <v>2700.79</v>
      </c>
      <c r="J252" s="7">
        <f t="shared" si="33"/>
        <v>540.16</v>
      </c>
      <c r="K252" s="8">
        <f t="shared" si="34"/>
        <v>3240.95</v>
      </c>
    </row>
    <row r="253" spans="1:11" ht="18.75" x14ac:dyDescent="0.25">
      <c r="A253" s="6">
        <f t="shared" si="40"/>
        <v>241</v>
      </c>
      <c r="B253" s="6">
        <f t="shared" si="38"/>
        <v>241</v>
      </c>
      <c r="C253" s="12" t="s">
        <v>38</v>
      </c>
      <c r="D253" s="11" t="s">
        <v>499</v>
      </c>
      <c r="E253" s="7">
        <v>901.78</v>
      </c>
      <c r="F253" s="7"/>
      <c r="G253" s="7"/>
      <c r="H253" s="8"/>
      <c r="I253" s="7">
        <f t="shared" si="32"/>
        <v>976.55</v>
      </c>
      <c r="J253" s="7">
        <f t="shared" si="33"/>
        <v>195.31</v>
      </c>
      <c r="K253" s="8">
        <f t="shared" si="34"/>
        <v>1171.8599999999999</v>
      </c>
    </row>
    <row r="254" spans="1:11" ht="18.75" x14ac:dyDescent="0.25">
      <c r="A254" s="6">
        <f t="shared" si="40"/>
        <v>242</v>
      </c>
      <c r="B254" s="6">
        <f t="shared" si="38"/>
        <v>242</v>
      </c>
      <c r="C254" s="10" t="s">
        <v>39</v>
      </c>
      <c r="D254" s="11" t="s">
        <v>499</v>
      </c>
      <c r="E254" s="7">
        <v>1314.44</v>
      </c>
      <c r="F254" s="7"/>
      <c r="G254" s="7"/>
      <c r="H254" s="8"/>
      <c r="I254" s="7">
        <f t="shared" si="32"/>
        <v>1423.43</v>
      </c>
      <c r="J254" s="7">
        <f t="shared" si="33"/>
        <v>284.69</v>
      </c>
      <c r="K254" s="8">
        <f t="shared" si="34"/>
        <v>1708.12</v>
      </c>
    </row>
    <row r="255" spans="1:11" ht="18.75" x14ac:dyDescent="0.25">
      <c r="A255" s="6">
        <f t="shared" si="40"/>
        <v>243</v>
      </c>
      <c r="B255" s="6">
        <f t="shared" si="40"/>
        <v>243</v>
      </c>
      <c r="C255" s="10" t="s">
        <v>40</v>
      </c>
      <c r="D255" s="11" t="s">
        <v>499</v>
      </c>
      <c r="E255" s="7">
        <v>1268.76</v>
      </c>
      <c r="F255" s="7"/>
      <c r="G255" s="7"/>
      <c r="H255" s="8"/>
      <c r="I255" s="7">
        <f t="shared" si="32"/>
        <v>1373.96</v>
      </c>
      <c r="J255" s="7">
        <f t="shared" si="33"/>
        <v>274.79000000000002</v>
      </c>
      <c r="K255" s="8">
        <f t="shared" si="34"/>
        <v>1648.75</v>
      </c>
    </row>
    <row r="256" spans="1:11" ht="18.75" x14ac:dyDescent="0.25">
      <c r="A256" s="6">
        <f t="shared" si="40"/>
        <v>244</v>
      </c>
      <c r="B256" s="6">
        <f t="shared" si="40"/>
        <v>244</v>
      </c>
      <c r="C256" s="10" t="s">
        <v>41</v>
      </c>
      <c r="D256" s="11" t="s">
        <v>499</v>
      </c>
      <c r="E256" s="7">
        <v>2136.67</v>
      </c>
      <c r="F256" s="7"/>
      <c r="G256" s="7"/>
      <c r="H256" s="8"/>
      <c r="I256" s="7">
        <f t="shared" si="32"/>
        <v>2313.83</v>
      </c>
      <c r="J256" s="7">
        <f t="shared" si="33"/>
        <v>462.77</v>
      </c>
      <c r="K256" s="8">
        <f t="shared" si="34"/>
        <v>2776.6</v>
      </c>
    </row>
    <row r="257" spans="1:11" ht="18.75" x14ac:dyDescent="0.25">
      <c r="A257" s="6">
        <f t="shared" si="40"/>
        <v>245</v>
      </c>
      <c r="B257" s="6">
        <f t="shared" si="40"/>
        <v>245</v>
      </c>
      <c r="C257" s="10" t="s">
        <v>42</v>
      </c>
      <c r="D257" s="11" t="s">
        <v>499</v>
      </c>
      <c r="E257" s="7">
        <v>1715.19</v>
      </c>
      <c r="F257" s="7"/>
      <c r="G257" s="7"/>
      <c r="H257" s="8"/>
      <c r="I257" s="7">
        <f t="shared" si="32"/>
        <v>1857.4</v>
      </c>
      <c r="J257" s="7">
        <f t="shared" si="33"/>
        <v>371.48</v>
      </c>
      <c r="K257" s="8">
        <f t="shared" si="34"/>
        <v>2228.88</v>
      </c>
    </row>
    <row r="258" spans="1:11" ht="18.75" x14ac:dyDescent="0.25">
      <c r="A258" s="6">
        <f t="shared" si="40"/>
        <v>246</v>
      </c>
      <c r="B258" s="6">
        <f t="shared" si="40"/>
        <v>246</v>
      </c>
      <c r="C258" s="10" t="s">
        <v>43</v>
      </c>
      <c r="D258" s="11" t="s">
        <v>499</v>
      </c>
      <c r="E258" s="7">
        <v>487.6</v>
      </c>
      <c r="F258" s="7"/>
      <c r="G258" s="7"/>
      <c r="H258" s="8"/>
      <c r="I258" s="7">
        <f t="shared" si="32"/>
        <v>528.03</v>
      </c>
      <c r="J258" s="7">
        <f t="shared" si="33"/>
        <v>105.61</v>
      </c>
      <c r="K258" s="8">
        <f t="shared" si="34"/>
        <v>633.64</v>
      </c>
    </row>
    <row r="259" spans="1:11" ht="18.75" x14ac:dyDescent="0.25">
      <c r="A259" s="6">
        <f t="shared" si="40"/>
        <v>247</v>
      </c>
      <c r="B259" s="6">
        <f t="shared" si="40"/>
        <v>247</v>
      </c>
      <c r="C259" s="10" t="s">
        <v>44</v>
      </c>
      <c r="D259" s="11" t="s">
        <v>499</v>
      </c>
      <c r="E259" s="7">
        <v>2537.42</v>
      </c>
      <c r="F259" s="7"/>
      <c r="G259" s="7"/>
      <c r="H259" s="8"/>
      <c r="I259" s="7">
        <f t="shared" si="32"/>
        <v>2747.81</v>
      </c>
      <c r="J259" s="7">
        <f t="shared" si="33"/>
        <v>549.55999999999995</v>
      </c>
      <c r="K259" s="8">
        <f t="shared" si="34"/>
        <v>3297.37</v>
      </c>
    </row>
    <row r="260" spans="1:11" ht="18.75" x14ac:dyDescent="0.25">
      <c r="A260" s="6">
        <f t="shared" si="40"/>
        <v>248</v>
      </c>
      <c r="B260" s="6">
        <f t="shared" si="40"/>
        <v>248</v>
      </c>
      <c r="C260" s="10" t="s">
        <v>45</v>
      </c>
      <c r="D260" s="11" t="s">
        <v>499</v>
      </c>
      <c r="E260" s="7">
        <v>487.6</v>
      </c>
      <c r="F260" s="7"/>
      <c r="G260" s="7"/>
      <c r="H260" s="8"/>
      <c r="I260" s="7">
        <f t="shared" si="32"/>
        <v>528.03</v>
      </c>
      <c r="J260" s="7">
        <f t="shared" si="33"/>
        <v>105.61</v>
      </c>
      <c r="K260" s="8">
        <f t="shared" si="34"/>
        <v>633.64</v>
      </c>
    </row>
    <row r="261" spans="1:11" ht="18.75" x14ac:dyDescent="0.25">
      <c r="A261" s="6">
        <f t="shared" si="40"/>
        <v>249</v>
      </c>
      <c r="B261" s="6">
        <f>B260+1</f>
        <v>249</v>
      </c>
      <c r="C261" s="10" t="s">
        <v>46</v>
      </c>
      <c r="D261" s="11" t="s">
        <v>499</v>
      </c>
      <c r="E261" s="7">
        <v>1669.51</v>
      </c>
      <c r="F261" s="7"/>
      <c r="G261" s="7"/>
      <c r="H261" s="8"/>
      <c r="I261" s="7">
        <f t="shared" si="32"/>
        <v>1807.94</v>
      </c>
      <c r="J261" s="7">
        <f t="shared" si="33"/>
        <v>361.59</v>
      </c>
      <c r="K261" s="8">
        <f t="shared" si="34"/>
        <v>2169.5300000000002</v>
      </c>
    </row>
    <row r="262" spans="1:11" ht="18.75" x14ac:dyDescent="0.25">
      <c r="A262" s="6">
        <f t="shared" si="40"/>
        <v>250</v>
      </c>
      <c r="B262" s="6">
        <f>B261+1</f>
        <v>250</v>
      </c>
      <c r="C262" s="10" t="s">
        <v>47</v>
      </c>
      <c r="D262" s="11" t="s">
        <v>499</v>
      </c>
      <c r="E262" s="7">
        <v>487.6</v>
      </c>
      <c r="F262" s="7"/>
      <c r="G262" s="7"/>
      <c r="H262" s="8"/>
      <c r="I262" s="7">
        <f t="shared" si="32"/>
        <v>528.03</v>
      </c>
      <c r="J262" s="7">
        <f t="shared" si="33"/>
        <v>105.61</v>
      </c>
      <c r="K262" s="8">
        <f t="shared" si="34"/>
        <v>633.64</v>
      </c>
    </row>
    <row r="263" spans="1:11" ht="18.75" x14ac:dyDescent="0.25">
      <c r="A263" s="6">
        <f t="shared" si="40"/>
        <v>251</v>
      </c>
      <c r="B263" s="6">
        <f t="shared" si="40"/>
        <v>251</v>
      </c>
      <c r="C263" s="12" t="s">
        <v>48</v>
      </c>
      <c r="D263" s="11" t="s">
        <v>493</v>
      </c>
      <c r="E263" s="7">
        <v>178.02</v>
      </c>
      <c r="F263" s="7"/>
      <c r="G263" s="7"/>
      <c r="H263" s="8"/>
      <c r="I263" s="7">
        <f t="shared" si="32"/>
        <v>192.78</v>
      </c>
      <c r="J263" s="7">
        <f t="shared" si="33"/>
        <v>38.56</v>
      </c>
      <c r="K263" s="8">
        <f t="shared" si="34"/>
        <v>231.34</v>
      </c>
    </row>
    <row r="264" spans="1:11" ht="18.75" x14ac:dyDescent="0.25">
      <c r="A264" s="6">
        <f t="shared" si="40"/>
        <v>252</v>
      </c>
      <c r="B264" s="6">
        <f t="shared" si="40"/>
        <v>252</v>
      </c>
      <c r="C264" s="12" t="s">
        <v>49</v>
      </c>
      <c r="D264" s="11" t="s">
        <v>493</v>
      </c>
      <c r="E264" s="7">
        <v>22006.12</v>
      </c>
      <c r="F264" s="7"/>
      <c r="G264" s="7"/>
      <c r="H264" s="8"/>
      <c r="I264" s="7">
        <f t="shared" si="32"/>
        <v>23830.74</v>
      </c>
      <c r="J264" s="7">
        <f t="shared" si="33"/>
        <v>4766.1499999999996</v>
      </c>
      <c r="K264" s="8">
        <f t="shared" si="34"/>
        <v>28596.89</v>
      </c>
    </row>
    <row r="265" spans="1:11" ht="31.5" x14ac:dyDescent="0.25">
      <c r="A265" s="6">
        <f t="shared" si="40"/>
        <v>253</v>
      </c>
      <c r="B265" s="6">
        <f t="shared" si="40"/>
        <v>253</v>
      </c>
      <c r="C265" s="10" t="s">
        <v>50</v>
      </c>
      <c r="D265" s="11" t="s">
        <v>494</v>
      </c>
      <c r="E265" s="7">
        <v>1869.34</v>
      </c>
      <c r="F265" s="7"/>
      <c r="G265" s="7"/>
      <c r="H265" s="8"/>
      <c r="I265" s="7">
        <f t="shared" si="32"/>
        <v>2024.33</v>
      </c>
      <c r="J265" s="7">
        <f t="shared" si="33"/>
        <v>404.87</v>
      </c>
      <c r="K265" s="8">
        <f t="shared" si="34"/>
        <v>2429.1999999999998</v>
      </c>
    </row>
    <row r="266" spans="1:11" ht="18.75" x14ac:dyDescent="0.25">
      <c r="A266" s="6">
        <f t="shared" si="40"/>
        <v>254</v>
      </c>
      <c r="B266" s="6">
        <f t="shared" si="40"/>
        <v>254</v>
      </c>
      <c r="C266" s="10" t="s">
        <v>51</v>
      </c>
      <c r="D266" s="11" t="s">
        <v>494</v>
      </c>
      <c r="E266" s="7">
        <v>2128.5700000000002</v>
      </c>
      <c r="F266" s="7"/>
      <c r="G266" s="7"/>
      <c r="H266" s="8"/>
      <c r="I266" s="7">
        <f t="shared" si="32"/>
        <v>2305.06</v>
      </c>
      <c r="J266" s="7">
        <f t="shared" si="33"/>
        <v>461.01</v>
      </c>
      <c r="K266" s="8">
        <f t="shared" si="34"/>
        <v>2766.07</v>
      </c>
    </row>
    <row r="267" spans="1:11" ht="31.5" x14ac:dyDescent="0.25">
      <c r="A267" s="6">
        <f t="shared" si="40"/>
        <v>255</v>
      </c>
      <c r="B267" s="6">
        <f t="shared" ref="B267:B298" si="41">B266+1</f>
        <v>255</v>
      </c>
      <c r="C267" s="10" t="s">
        <v>52</v>
      </c>
      <c r="D267" s="11" t="s">
        <v>497</v>
      </c>
      <c r="E267" s="7">
        <v>3829.44</v>
      </c>
      <c r="F267" s="7"/>
      <c r="G267" s="7"/>
      <c r="H267" s="8"/>
      <c r="I267" s="7">
        <f t="shared" si="32"/>
        <v>4146.95</v>
      </c>
      <c r="J267" s="7">
        <f t="shared" si="33"/>
        <v>829.39</v>
      </c>
      <c r="K267" s="8">
        <f t="shared" si="34"/>
        <v>4976.34</v>
      </c>
    </row>
    <row r="268" spans="1:11" ht="31.5" x14ac:dyDescent="0.25">
      <c r="A268" s="6">
        <f t="shared" ref="A268:A299" si="42">A267+1</f>
        <v>256</v>
      </c>
      <c r="B268" s="6">
        <f t="shared" si="41"/>
        <v>256</v>
      </c>
      <c r="C268" s="10" t="s">
        <v>53</v>
      </c>
      <c r="D268" s="11" t="s">
        <v>493</v>
      </c>
      <c r="E268" s="7">
        <v>103.04</v>
      </c>
      <c r="F268" s="7"/>
      <c r="G268" s="7"/>
      <c r="H268" s="8"/>
      <c r="I268" s="7">
        <f t="shared" ref="I268:I331" si="43">E268*1.0083*1.074</f>
        <v>111.58</v>
      </c>
      <c r="J268" s="7">
        <f t="shared" si="33"/>
        <v>22.32</v>
      </c>
      <c r="K268" s="8">
        <f t="shared" si="34"/>
        <v>133.9</v>
      </c>
    </row>
    <row r="269" spans="1:11" ht="31.5" x14ac:dyDescent="0.25">
      <c r="A269" s="6">
        <f t="shared" si="42"/>
        <v>257</v>
      </c>
      <c r="B269" s="6">
        <f t="shared" si="41"/>
        <v>257</v>
      </c>
      <c r="C269" s="10" t="s">
        <v>54</v>
      </c>
      <c r="D269" s="11" t="s">
        <v>493</v>
      </c>
      <c r="E269" s="7">
        <v>152.78</v>
      </c>
      <c r="F269" s="7"/>
      <c r="G269" s="7"/>
      <c r="H269" s="8"/>
      <c r="I269" s="7">
        <f t="shared" si="43"/>
        <v>165.45</v>
      </c>
      <c r="J269" s="7">
        <f>I269*0.2</f>
        <v>33.090000000000003</v>
      </c>
      <c r="K269" s="8">
        <f>I269+J269</f>
        <v>198.54</v>
      </c>
    </row>
    <row r="270" spans="1:11" ht="31.5" x14ac:dyDescent="0.25">
      <c r="A270" s="6">
        <f t="shared" si="42"/>
        <v>258</v>
      </c>
      <c r="B270" s="6">
        <f t="shared" si="41"/>
        <v>258</v>
      </c>
      <c r="C270" s="10" t="s">
        <v>55</v>
      </c>
      <c r="D270" s="11" t="s">
        <v>497</v>
      </c>
      <c r="E270" s="7">
        <v>284.23</v>
      </c>
      <c r="F270" s="7"/>
      <c r="G270" s="7"/>
      <c r="H270" s="8"/>
      <c r="I270" s="7">
        <f t="shared" si="43"/>
        <v>307.8</v>
      </c>
      <c r="J270" s="7">
        <f>I270*0.2</f>
        <v>61.56</v>
      </c>
      <c r="K270" s="8">
        <f>I270+J270</f>
        <v>369.36</v>
      </c>
    </row>
    <row r="271" spans="1:11" ht="31.5" x14ac:dyDescent="0.25">
      <c r="A271" s="6">
        <f t="shared" si="42"/>
        <v>259</v>
      </c>
      <c r="B271" s="6">
        <f t="shared" si="41"/>
        <v>259</v>
      </c>
      <c r="C271" s="10" t="s">
        <v>56</v>
      </c>
      <c r="D271" s="11" t="s">
        <v>493</v>
      </c>
      <c r="E271" s="7">
        <v>172.82</v>
      </c>
      <c r="F271" s="7"/>
      <c r="G271" s="7"/>
      <c r="H271" s="8"/>
      <c r="I271" s="7">
        <f t="shared" si="43"/>
        <v>187.15</v>
      </c>
      <c r="J271" s="7">
        <f t="shared" ref="J271:J334" si="44">I271*0.2</f>
        <v>37.43</v>
      </c>
      <c r="K271" s="8">
        <f t="shared" ref="K271:K334" si="45">I271+J271</f>
        <v>224.58</v>
      </c>
    </row>
    <row r="272" spans="1:11" ht="18.75" x14ac:dyDescent="0.25">
      <c r="A272" s="6">
        <f t="shared" si="42"/>
        <v>260</v>
      </c>
      <c r="B272" s="6">
        <f t="shared" si="41"/>
        <v>260</v>
      </c>
      <c r="C272" s="12" t="s">
        <v>57</v>
      </c>
      <c r="D272" s="11" t="s">
        <v>493</v>
      </c>
      <c r="E272" s="7">
        <v>504.87</v>
      </c>
      <c r="F272" s="7"/>
      <c r="G272" s="7"/>
      <c r="H272" s="8"/>
      <c r="I272" s="7">
        <f t="shared" si="43"/>
        <v>546.73</v>
      </c>
      <c r="J272" s="7">
        <f t="shared" si="44"/>
        <v>109.35</v>
      </c>
      <c r="K272" s="8">
        <f t="shared" si="45"/>
        <v>656.08</v>
      </c>
    </row>
    <row r="273" spans="1:11" ht="18.75" x14ac:dyDescent="0.25">
      <c r="A273" s="6">
        <f t="shared" si="42"/>
        <v>261</v>
      </c>
      <c r="B273" s="6">
        <f t="shared" si="41"/>
        <v>261</v>
      </c>
      <c r="C273" s="10" t="s">
        <v>58</v>
      </c>
      <c r="D273" s="11" t="s">
        <v>493</v>
      </c>
      <c r="E273" s="7">
        <v>231.66</v>
      </c>
      <c r="F273" s="7"/>
      <c r="G273" s="7"/>
      <c r="H273" s="8"/>
      <c r="I273" s="7">
        <f t="shared" si="43"/>
        <v>250.87</v>
      </c>
      <c r="J273" s="7">
        <f t="shared" si="44"/>
        <v>50.17</v>
      </c>
      <c r="K273" s="8">
        <f t="shared" si="45"/>
        <v>301.04000000000002</v>
      </c>
    </row>
    <row r="274" spans="1:11" ht="31.5" x14ac:dyDescent="0.25">
      <c r="A274" s="6">
        <f t="shared" si="42"/>
        <v>262</v>
      </c>
      <c r="B274" s="6">
        <f t="shared" si="41"/>
        <v>262</v>
      </c>
      <c r="C274" s="10" t="s">
        <v>59</v>
      </c>
      <c r="D274" s="11" t="s">
        <v>497</v>
      </c>
      <c r="E274" s="7">
        <v>950.38</v>
      </c>
      <c r="F274" s="7"/>
      <c r="G274" s="7"/>
      <c r="H274" s="8"/>
      <c r="I274" s="7">
        <f t="shared" si="43"/>
        <v>1029.18</v>
      </c>
      <c r="J274" s="7">
        <f t="shared" si="44"/>
        <v>205.84</v>
      </c>
      <c r="K274" s="8">
        <f t="shared" si="45"/>
        <v>1235.02</v>
      </c>
    </row>
    <row r="275" spans="1:11" ht="31.5" x14ac:dyDescent="0.25">
      <c r="A275" s="6">
        <f t="shared" si="42"/>
        <v>263</v>
      </c>
      <c r="B275" s="6">
        <f t="shared" si="41"/>
        <v>263</v>
      </c>
      <c r="C275" s="10" t="s">
        <v>60</v>
      </c>
      <c r="D275" s="11" t="s">
        <v>497</v>
      </c>
      <c r="E275" s="7">
        <v>403.91</v>
      </c>
      <c r="F275" s="7"/>
      <c r="G275" s="7"/>
      <c r="H275" s="8"/>
      <c r="I275" s="7">
        <f t="shared" si="43"/>
        <v>437.4</v>
      </c>
      <c r="J275" s="7">
        <f t="shared" si="44"/>
        <v>87.48</v>
      </c>
      <c r="K275" s="8">
        <f t="shared" si="45"/>
        <v>524.88</v>
      </c>
    </row>
    <row r="276" spans="1:11" ht="18.75" x14ac:dyDescent="0.25">
      <c r="A276" s="6">
        <f t="shared" si="42"/>
        <v>264</v>
      </c>
      <c r="B276" s="6">
        <f t="shared" si="41"/>
        <v>264</v>
      </c>
      <c r="C276" s="10" t="s">
        <v>61</v>
      </c>
      <c r="D276" s="11" t="s">
        <v>493</v>
      </c>
      <c r="E276" s="7">
        <v>574.62</v>
      </c>
      <c r="F276" s="7"/>
      <c r="G276" s="7"/>
      <c r="H276" s="8"/>
      <c r="I276" s="7">
        <f t="shared" si="43"/>
        <v>622.26</v>
      </c>
      <c r="J276" s="7">
        <f t="shared" si="44"/>
        <v>124.45</v>
      </c>
      <c r="K276" s="8">
        <f t="shared" si="45"/>
        <v>746.71</v>
      </c>
    </row>
    <row r="277" spans="1:11" ht="31.5" x14ac:dyDescent="0.25">
      <c r="A277" s="6">
        <f t="shared" si="42"/>
        <v>265</v>
      </c>
      <c r="B277" s="6">
        <f t="shared" si="41"/>
        <v>265</v>
      </c>
      <c r="C277" s="10" t="s">
        <v>62</v>
      </c>
      <c r="D277" s="11" t="s">
        <v>497</v>
      </c>
      <c r="E277" s="7">
        <v>1022.33</v>
      </c>
      <c r="F277" s="7"/>
      <c r="G277" s="7"/>
      <c r="H277" s="8"/>
      <c r="I277" s="7">
        <f t="shared" si="43"/>
        <v>1107.0999999999999</v>
      </c>
      <c r="J277" s="7">
        <f t="shared" si="44"/>
        <v>221.42</v>
      </c>
      <c r="K277" s="8">
        <f t="shared" si="45"/>
        <v>1328.52</v>
      </c>
    </row>
    <row r="278" spans="1:11" ht="18.75" x14ac:dyDescent="0.25">
      <c r="A278" s="6">
        <f t="shared" si="42"/>
        <v>266</v>
      </c>
      <c r="B278" s="6">
        <f t="shared" si="41"/>
        <v>266</v>
      </c>
      <c r="C278" s="10" t="s">
        <v>63</v>
      </c>
      <c r="D278" s="11" t="s">
        <v>496</v>
      </c>
      <c r="E278" s="7">
        <v>124.53</v>
      </c>
      <c r="F278" s="7"/>
      <c r="G278" s="7"/>
      <c r="H278" s="8"/>
      <c r="I278" s="7">
        <f t="shared" si="43"/>
        <v>134.86000000000001</v>
      </c>
      <c r="J278" s="7">
        <f t="shared" si="44"/>
        <v>26.97</v>
      </c>
      <c r="K278" s="8">
        <f t="shared" si="45"/>
        <v>161.83000000000001</v>
      </c>
    </row>
    <row r="279" spans="1:11" ht="18.75" x14ac:dyDescent="0.25">
      <c r="A279" s="6">
        <f t="shared" si="42"/>
        <v>267</v>
      </c>
      <c r="B279" s="6">
        <f t="shared" si="41"/>
        <v>267</v>
      </c>
      <c r="C279" s="10" t="s">
        <v>64</v>
      </c>
      <c r="D279" s="11" t="s">
        <v>496</v>
      </c>
      <c r="E279" s="7">
        <v>124.53</v>
      </c>
      <c r="F279" s="7"/>
      <c r="G279" s="7"/>
      <c r="H279" s="8"/>
      <c r="I279" s="7">
        <f t="shared" si="43"/>
        <v>134.86000000000001</v>
      </c>
      <c r="J279" s="7">
        <f t="shared" si="44"/>
        <v>26.97</v>
      </c>
      <c r="K279" s="8">
        <f t="shared" si="45"/>
        <v>161.83000000000001</v>
      </c>
    </row>
    <row r="280" spans="1:11" ht="18.75" x14ac:dyDescent="0.25">
      <c r="A280" s="6">
        <f t="shared" si="42"/>
        <v>268</v>
      </c>
      <c r="B280" s="6">
        <f t="shared" si="41"/>
        <v>268</v>
      </c>
      <c r="C280" s="10" t="s">
        <v>65</v>
      </c>
      <c r="D280" s="11" t="s">
        <v>493</v>
      </c>
      <c r="E280" s="7">
        <v>704.75</v>
      </c>
      <c r="F280" s="7"/>
      <c r="G280" s="7"/>
      <c r="H280" s="8"/>
      <c r="I280" s="7">
        <f t="shared" si="43"/>
        <v>763.18</v>
      </c>
      <c r="J280" s="7">
        <f t="shared" si="44"/>
        <v>152.63999999999999</v>
      </c>
      <c r="K280" s="8">
        <f t="shared" si="45"/>
        <v>915.82</v>
      </c>
    </row>
    <row r="281" spans="1:11" ht="31.5" x14ac:dyDescent="0.25">
      <c r="A281" s="6">
        <f t="shared" si="42"/>
        <v>269</v>
      </c>
      <c r="B281" s="6">
        <f t="shared" si="41"/>
        <v>269</v>
      </c>
      <c r="C281" s="10" t="s">
        <v>66</v>
      </c>
      <c r="D281" s="11" t="s">
        <v>493</v>
      </c>
      <c r="E281" s="7">
        <v>251.74</v>
      </c>
      <c r="F281" s="7"/>
      <c r="G281" s="7"/>
      <c r="H281" s="8"/>
      <c r="I281" s="7">
        <f t="shared" si="43"/>
        <v>272.61</v>
      </c>
      <c r="J281" s="7">
        <f t="shared" si="44"/>
        <v>54.52</v>
      </c>
      <c r="K281" s="8">
        <f t="shared" si="45"/>
        <v>327.13</v>
      </c>
    </row>
    <row r="282" spans="1:11" ht="31.5" x14ac:dyDescent="0.25">
      <c r="A282" s="6">
        <f t="shared" si="42"/>
        <v>270</v>
      </c>
      <c r="B282" s="6">
        <f t="shared" si="41"/>
        <v>270</v>
      </c>
      <c r="C282" s="12" t="s">
        <v>67</v>
      </c>
      <c r="D282" s="11" t="s">
        <v>493</v>
      </c>
      <c r="E282" s="7">
        <v>1389.03</v>
      </c>
      <c r="F282" s="7"/>
      <c r="G282" s="7"/>
      <c r="H282" s="8"/>
      <c r="I282" s="7">
        <f t="shared" si="43"/>
        <v>1504.2</v>
      </c>
      <c r="J282" s="7">
        <f t="shared" si="44"/>
        <v>300.83999999999997</v>
      </c>
      <c r="K282" s="8">
        <f t="shared" si="45"/>
        <v>1805.04</v>
      </c>
    </row>
    <row r="283" spans="1:11" ht="31.5" x14ac:dyDescent="0.25">
      <c r="A283" s="6">
        <f t="shared" si="42"/>
        <v>271</v>
      </c>
      <c r="B283" s="6">
        <f t="shared" si="41"/>
        <v>271</v>
      </c>
      <c r="C283" s="12" t="s">
        <v>68</v>
      </c>
      <c r="D283" s="11" t="s">
        <v>493</v>
      </c>
      <c r="E283" s="7">
        <v>704.75</v>
      </c>
      <c r="F283" s="7"/>
      <c r="G283" s="7"/>
      <c r="H283" s="8"/>
      <c r="I283" s="7">
        <f t="shared" si="43"/>
        <v>763.18</v>
      </c>
      <c r="J283" s="7">
        <f t="shared" si="44"/>
        <v>152.63999999999999</v>
      </c>
      <c r="K283" s="8">
        <f t="shared" si="45"/>
        <v>915.82</v>
      </c>
    </row>
    <row r="284" spans="1:11" ht="31.5" x14ac:dyDescent="0.25">
      <c r="A284" s="6">
        <f t="shared" si="42"/>
        <v>272</v>
      </c>
      <c r="B284" s="6">
        <f t="shared" si="41"/>
        <v>272</v>
      </c>
      <c r="C284" s="10" t="s">
        <v>69</v>
      </c>
      <c r="D284" s="11" t="s">
        <v>493</v>
      </c>
      <c r="E284" s="7">
        <v>1265.33</v>
      </c>
      <c r="F284" s="7"/>
      <c r="G284" s="7"/>
      <c r="H284" s="8"/>
      <c r="I284" s="7">
        <f t="shared" si="43"/>
        <v>1370.24</v>
      </c>
      <c r="J284" s="7">
        <f t="shared" si="44"/>
        <v>274.05</v>
      </c>
      <c r="K284" s="8">
        <f t="shared" si="45"/>
        <v>1644.29</v>
      </c>
    </row>
    <row r="285" spans="1:11" ht="18.75" x14ac:dyDescent="0.25">
      <c r="A285" s="6">
        <f t="shared" si="42"/>
        <v>273</v>
      </c>
      <c r="B285" s="6">
        <f t="shared" si="41"/>
        <v>273</v>
      </c>
      <c r="C285" s="10" t="s">
        <v>70</v>
      </c>
      <c r="D285" s="11" t="s">
        <v>493</v>
      </c>
      <c r="E285" s="7">
        <v>2158.7600000000002</v>
      </c>
      <c r="F285" s="7"/>
      <c r="G285" s="7"/>
      <c r="H285" s="8"/>
      <c r="I285" s="7">
        <f t="shared" si="43"/>
        <v>2337.75</v>
      </c>
      <c r="J285" s="7">
        <f t="shared" si="44"/>
        <v>467.55</v>
      </c>
      <c r="K285" s="8">
        <f t="shared" si="45"/>
        <v>2805.3</v>
      </c>
    </row>
    <row r="286" spans="1:11" ht="31.5" x14ac:dyDescent="0.25">
      <c r="A286" s="6">
        <f t="shared" si="42"/>
        <v>274</v>
      </c>
      <c r="B286" s="6">
        <f t="shared" si="41"/>
        <v>274</v>
      </c>
      <c r="C286" s="10" t="s">
        <v>71</v>
      </c>
      <c r="D286" s="11" t="s">
        <v>497</v>
      </c>
      <c r="E286" s="7">
        <v>213.19</v>
      </c>
      <c r="F286" s="7"/>
      <c r="G286" s="7"/>
      <c r="H286" s="8"/>
      <c r="I286" s="7">
        <f t="shared" si="43"/>
        <v>230.87</v>
      </c>
      <c r="J286" s="7">
        <f t="shared" si="44"/>
        <v>46.17</v>
      </c>
      <c r="K286" s="8">
        <f t="shared" si="45"/>
        <v>277.04000000000002</v>
      </c>
    </row>
    <row r="287" spans="1:11" ht="18.75" x14ac:dyDescent="0.25">
      <c r="A287" s="6">
        <f t="shared" si="42"/>
        <v>275</v>
      </c>
      <c r="B287" s="6">
        <f t="shared" si="41"/>
        <v>275</v>
      </c>
      <c r="C287" s="10" t="s">
        <v>72</v>
      </c>
      <c r="D287" s="11" t="s">
        <v>503</v>
      </c>
      <c r="E287" s="7">
        <v>25302.84</v>
      </c>
      <c r="F287" s="7"/>
      <c r="G287" s="7"/>
      <c r="H287" s="8"/>
      <c r="I287" s="7">
        <f t="shared" si="43"/>
        <v>27400.799999999999</v>
      </c>
      <c r="J287" s="7">
        <f t="shared" si="44"/>
        <v>5480.16</v>
      </c>
      <c r="K287" s="8">
        <f t="shared" si="45"/>
        <v>32880.959999999999</v>
      </c>
    </row>
    <row r="288" spans="1:11" ht="18.75" x14ac:dyDescent="0.25">
      <c r="A288" s="6">
        <f t="shared" si="42"/>
        <v>276</v>
      </c>
      <c r="B288" s="6">
        <f t="shared" si="41"/>
        <v>276</v>
      </c>
      <c r="C288" s="10" t="s">
        <v>73</v>
      </c>
      <c r="D288" s="11" t="s">
        <v>503</v>
      </c>
      <c r="E288" s="7">
        <v>46363.72</v>
      </c>
      <c r="F288" s="7"/>
      <c r="G288" s="7"/>
      <c r="H288" s="8"/>
      <c r="I288" s="7">
        <f t="shared" si="43"/>
        <v>50207.93</v>
      </c>
      <c r="J288" s="7">
        <f t="shared" si="44"/>
        <v>10041.59</v>
      </c>
      <c r="K288" s="8">
        <f t="shared" si="45"/>
        <v>60249.52</v>
      </c>
    </row>
    <row r="289" spans="1:11" ht="18.75" x14ac:dyDescent="0.25">
      <c r="A289" s="6">
        <f t="shared" si="42"/>
        <v>277</v>
      </c>
      <c r="B289" s="6">
        <f t="shared" si="41"/>
        <v>277</v>
      </c>
      <c r="C289" s="10" t="s">
        <v>74</v>
      </c>
      <c r="D289" s="11" t="s">
        <v>503</v>
      </c>
      <c r="E289" s="7">
        <v>38603.14</v>
      </c>
      <c r="F289" s="7"/>
      <c r="G289" s="7"/>
      <c r="H289" s="8"/>
      <c r="I289" s="7">
        <f t="shared" si="43"/>
        <v>41803.89</v>
      </c>
      <c r="J289" s="7">
        <f t="shared" si="44"/>
        <v>8360.7800000000007</v>
      </c>
      <c r="K289" s="8">
        <f t="shared" si="45"/>
        <v>50164.67</v>
      </c>
    </row>
    <row r="290" spans="1:11" ht="18.75" x14ac:dyDescent="0.25">
      <c r="A290" s="6">
        <f t="shared" si="42"/>
        <v>278</v>
      </c>
      <c r="B290" s="6">
        <f t="shared" si="41"/>
        <v>278</v>
      </c>
      <c r="C290" s="10" t="s">
        <v>75</v>
      </c>
      <c r="D290" s="11" t="s">
        <v>503</v>
      </c>
      <c r="E290" s="7">
        <v>102970.37</v>
      </c>
      <c r="F290" s="7"/>
      <c r="G290" s="7"/>
      <c r="H290" s="8"/>
      <c r="I290" s="7">
        <f t="shared" si="43"/>
        <v>111508.08</v>
      </c>
      <c r="J290" s="7">
        <f t="shared" si="44"/>
        <v>22301.62</v>
      </c>
      <c r="K290" s="8">
        <f t="shared" si="45"/>
        <v>133809.70000000001</v>
      </c>
    </row>
    <row r="291" spans="1:11" ht="31.5" x14ac:dyDescent="0.25">
      <c r="A291" s="6">
        <f t="shared" si="42"/>
        <v>279</v>
      </c>
      <c r="B291" s="6">
        <f t="shared" si="41"/>
        <v>279</v>
      </c>
      <c r="C291" s="10" t="s">
        <v>76</v>
      </c>
      <c r="D291" s="11" t="s">
        <v>497</v>
      </c>
      <c r="E291" s="7">
        <v>925.34</v>
      </c>
      <c r="F291" s="7"/>
      <c r="G291" s="7"/>
      <c r="H291" s="8"/>
      <c r="I291" s="7">
        <f t="shared" si="43"/>
        <v>1002.06</v>
      </c>
      <c r="J291" s="7">
        <f t="shared" si="44"/>
        <v>200.41</v>
      </c>
      <c r="K291" s="8">
        <f t="shared" si="45"/>
        <v>1202.47</v>
      </c>
    </row>
    <row r="292" spans="1:11" ht="18.75" x14ac:dyDescent="0.25">
      <c r="A292" s="6">
        <f t="shared" si="42"/>
        <v>280</v>
      </c>
      <c r="B292" s="6">
        <f t="shared" si="41"/>
        <v>280</v>
      </c>
      <c r="C292" s="12" t="s">
        <v>77</v>
      </c>
      <c r="D292" s="11" t="s">
        <v>503</v>
      </c>
      <c r="E292" s="7">
        <v>57619.76</v>
      </c>
      <c r="F292" s="7"/>
      <c r="G292" s="7"/>
      <c r="H292" s="8"/>
      <c r="I292" s="7">
        <f t="shared" si="43"/>
        <v>62397.26</v>
      </c>
      <c r="J292" s="7">
        <f t="shared" si="44"/>
        <v>12479.45</v>
      </c>
      <c r="K292" s="8">
        <f t="shared" si="45"/>
        <v>74876.710000000006</v>
      </c>
    </row>
    <row r="293" spans="1:11" ht="18.75" x14ac:dyDescent="0.25">
      <c r="A293" s="6">
        <f t="shared" si="42"/>
        <v>281</v>
      </c>
      <c r="B293" s="6">
        <f t="shared" si="41"/>
        <v>281</v>
      </c>
      <c r="C293" s="10" t="s">
        <v>78</v>
      </c>
      <c r="D293" s="11" t="s">
        <v>503</v>
      </c>
      <c r="E293" s="7">
        <v>53252.33</v>
      </c>
      <c r="F293" s="7"/>
      <c r="G293" s="7"/>
      <c r="H293" s="8"/>
      <c r="I293" s="7">
        <f t="shared" si="43"/>
        <v>57667.7</v>
      </c>
      <c r="J293" s="7">
        <f t="shared" si="44"/>
        <v>11533.54</v>
      </c>
      <c r="K293" s="8">
        <f t="shared" si="45"/>
        <v>69201.240000000005</v>
      </c>
    </row>
    <row r="294" spans="1:11" ht="18.75" x14ac:dyDescent="0.25">
      <c r="A294" s="6">
        <f t="shared" si="42"/>
        <v>282</v>
      </c>
      <c r="B294" s="6">
        <f t="shared" si="41"/>
        <v>282</v>
      </c>
      <c r="C294" s="10" t="s">
        <v>79</v>
      </c>
      <c r="D294" s="11" t="s">
        <v>503</v>
      </c>
      <c r="E294" s="7">
        <v>2832.93</v>
      </c>
      <c r="F294" s="7"/>
      <c r="G294" s="7"/>
      <c r="H294" s="8"/>
      <c r="I294" s="7">
        <f t="shared" si="43"/>
        <v>3067.82</v>
      </c>
      <c r="J294" s="7">
        <f t="shared" si="44"/>
        <v>613.55999999999995</v>
      </c>
      <c r="K294" s="8">
        <f t="shared" si="45"/>
        <v>3681.38</v>
      </c>
    </row>
    <row r="295" spans="1:11" ht="18.75" x14ac:dyDescent="0.25">
      <c r="A295" s="6">
        <f t="shared" si="42"/>
        <v>283</v>
      </c>
      <c r="B295" s="6">
        <f t="shared" si="41"/>
        <v>283</v>
      </c>
      <c r="C295" s="10" t="s">
        <v>80</v>
      </c>
      <c r="D295" s="11" t="s">
        <v>503</v>
      </c>
      <c r="E295" s="7">
        <v>1534.5</v>
      </c>
      <c r="F295" s="7"/>
      <c r="G295" s="7"/>
      <c r="H295" s="8"/>
      <c r="I295" s="7">
        <f t="shared" si="43"/>
        <v>1661.73</v>
      </c>
      <c r="J295" s="7">
        <f t="shared" si="44"/>
        <v>332.35</v>
      </c>
      <c r="K295" s="8">
        <f t="shared" si="45"/>
        <v>1994.08</v>
      </c>
    </row>
    <row r="296" spans="1:11" ht="31.5" x14ac:dyDescent="0.25">
      <c r="A296" s="6">
        <f t="shared" si="42"/>
        <v>284</v>
      </c>
      <c r="B296" s="6">
        <f t="shared" si="41"/>
        <v>284</v>
      </c>
      <c r="C296" s="10" t="s">
        <v>81</v>
      </c>
      <c r="D296" s="11" t="s">
        <v>500</v>
      </c>
      <c r="E296" s="7">
        <v>1401.19</v>
      </c>
      <c r="F296" s="7"/>
      <c r="G296" s="7"/>
      <c r="H296" s="8"/>
      <c r="I296" s="7">
        <f t="shared" si="43"/>
        <v>1517.37</v>
      </c>
      <c r="J296" s="7">
        <f t="shared" si="44"/>
        <v>303.47000000000003</v>
      </c>
      <c r="K296" s="8">
        <f t="shared" si="45"/>
        <v>1820.84</v>
      </c>
    </row>
    <row r="297" spans="1:11" ht="18.75" x14ac:dyDescent="0.25">
      <c r="A297" s="6">
        <f t="shared" si="42"/>
        <v>285</v>
      </c>
      <c r="B297" s="6">
        <f t="shared" si="41"/>
        <v>285</v>
      </c>
      <c r="C297" s="10" t="s">
        <v>82</v>
      </c>
      <c r="D297" s="11" t="s">
        <v>499</v>
      </c>
      <c r="E297" s="7">
        <v>305.39</v>
      </c>
      <c r="F297" s="7"/>
      <c r="G297" s="7"/>
      <c r="H297" s="8"/>
      <c r="I297" s="7">
        <f t="shared" si="43"/>
        <v>330.71</v>
      </c>
      <c r="J297" s="7">
        <f t="shared" si="44"/>
        <v>66.14</v>
      </c>
      <c r="K297" s="8">
        <f t="shared" si="45"/>
        <v>396.85</v>
      </c>
    </row>
    <row r="298" spans="1:11" ht="18.75" x14ac:dyDescent="0.25">
      <c r="A298" s="6">
        <f t="shared" si="42"/>
        <v>286</v>
      </c>
      <c r="B298" s="6">
        <f t="shared" si="41"/>
        <v>286</v>
      </c>
      <c r="C298" s="10" t="s">
        <v>83</v>
      </c>
      <c r="D298" s="11" t="s">
        <v>503</v>
      </c>
      <c r="E298" s="7">
        <v>4131.7700000000004</v>
      </c>
      <c r="F298" s="7"/>
      <c r="G298" s="7"/>
      <c r="H298" s="8"/>
      <c r="I298" s="7">
        <f t="shared" si="43"/>
        <v>4474.3500000000004</v>
      </c>
      <c r="J298" s="7">
        <f t="shared" si="44"/>
        <v>894.87</v>
      </c>
      <c r="K298" s="8">
        <f t="shared" si="45"/>
        <v>5369.22</v>
      </c>
    </row>
    <row r="299" spans="1:11" ht="31.5" x14ac:dyDescent="0.25">
      <c r="A299" s="6">
        <f t="shared" si="42"/>
        <v>287</v>
      </c>
      <c r="B299" s="6">
        <f t="shared" ref="B299:B330" si="46">B298+1</f>
        <v>287</v>
      </c>
      <c r="C299" s="10" t="s">
        <v>84</v>
      </c>
      <c r="D299" s="11" t="s">
        <v>503</v>
      </c>
      <c r="E299" s="7">
        <v>5029.96</v>
      </c>
      <c r="F299" s="7"/>
      <c r="G299" s="7"/>
      <c r="H299" s="8"/>
      <c r="I299" s="7">
        <f t="shared" si="43"/>
        <v>5447.02</v>
      </c>
      <c r="J299" s="7">
        <f t="shared" si="44"/>
        <v>1089.4000000000001</v>
      </c>
      <c r="K299" s="8">
        <f t="shared" si="45"/>
        <v>6536.42</v>
      </c>
    </row>
    <row r="300" spans="1:11" ht="31.5" x14ac:dyDescent="0.25">
      <c r="A300" s="6">
        <f t="shared" ref="A300:A331" si="47">A299+1</f>
        <v>288</v>
      </c>
      <c r="B300" s="6">
        <f t="shared" si="46"/>
        <v>288</v>
      </c>
      <c r="C300" s="10" t="s">
        <v>85</v>
      </c>
      <c r="D300" s="11" t="s">
        <v>497</v>
      </c>
      <c r="E300" s="7">
        <v>9251.5400000000009</v>
      </c>
      <c r="F300" s="7"/>
      <c r="G300" s="7"/>
      <c r="H300" s="8"/>
      <c r="I300" s="7">
        <f t="shared" si="43"/>
        <v>10018.620000000001</v>
      </c>
      <c r="J300" s="7">
        <f t="shared" si="44"/>
        <v>2003.72</v>
      </c>
      <c r="K300" s="8">
        <f t="shared" si="45"/>
        <v>12022.34</v>
      </c>
    </row>
    <row r="301" spans="1:11" ht="31.5" x14ac:dyDescent="0.25">
      <c r="A301" s="6">
        <f t="shared" si="47"/>
        <v>289</v>
      </c>
      <c r="B301" s="6">
        <f t="shared" si="46"/>
        <v>289</v>
      </c>
      <c r="C301" s="12" t="s">
        <v>86</v>
      </c>
      <c r="D301" s="11" t="s">
        <v>497</v>
      </c>
      <c r="E301" s="7">
        <v>603.98</v>
      </c>
      <c r="F301" s="7"/>
      <c r="G301" s="7"/>
      <c r="H301" s="8"/>
      <c r="I301" s="7">
        <f t="shared" si="43"/>
        <v>654.05999999999995</v>
      </c>
      <c r="J301" s="7">
        <f t="shared" si="44"/>
        <v>130.81</v>
      </c>
      <c r="K301" s="8">
        <f t="shared" si="45"/>
        <v>784.87</v>
      </c>
    </row>
    <row r="302" spans="1:11" ht="31.5" x14ac:dyDescent="0.25">
      <c r="A302" s="6">
        <f t="shared" si="47"/>
        <v>290</v>
      </c>
      <c r="B302" s="6">
        <f t="shared" si="46"/>
        <v>290</v>
      </c>
      <c r="C302" s="12" t="s">
        <v>87</v>
      </c>
      <c r="D302" s="11" t="s">
        <v>497</v>
      </c>
      <c r="E302" s="7">
        <v>22724.68</v>
      </c>
      <c r="F302" s="7"/>
      <c r="G302" s="7"/>
      <c r="H302" s="8"/>
      <c r="I302" s="7">
        <f t="shared" si="43"/>
        <v>24608.880000000001</v>
      </c>
      <c r="J302" s="7">
        <f t="shared" si="44"/>
        <v>4921.78</v>
      </c>
      <c r="K302" s="8">
        <f t="shared" si="45"/>
        <v>29530.66</v>
      </c>
    </row>
    <row r="303" spans="1:11" ht="31.5" x14ac:dyDescent="0.25">
      <c r="A303" s="6">
        <f t="shared" si="47"/>
        <v>291</v>
      </c>
      <c r="B303" s="6">
        <f t="shared" si="46"/>
        <v>291</v>
      </c>
      <c r="C303" s="12" t="s">
        <v>88</v>
      </c>
      <c r="D303" s="11" t="s">
        <v>497</v>
      </c>
      <c r="E303" s="7">
        <v>22724.68</v>
      </c>
      <c r="F303" s="7"/>
      <c r="G303" s="7"/>
      <c r="H303" s="8"/>
      <c r="I303" s="7">
        <f t="shared" si="43"/>
        <v>24608.880000000001</v>
      </c>
      <c r="J303" s="7">
        <f t="shared" si="44"/>
        <v>4921.78</v>
      </c>
      <c r="K303" s="8">
        <f t="shared" si="45"/>
        <v>29530.66</v>
      </c>
    </row>
    <row r="304" spans="1:11" ht="31.5" x14ac:dyDescent="0.25">
      <c r="A304" s="6">
        <f t="shared" si="47"/>
        <v>292</v>
      </c>
      <c r="B304" s="6">
        <f t="shared" si="46"/>
        <v>292</v>
      </c>
      <c r="C304" s="12" t="s">
        <v>89</v>
      </c>
      <c r="D304" s="11" t="s">
        <v>497</v>
      </c>
      <c r="E304" s="7">
        <v>22724.68</v>
      </c>
      <c r="F304" s="7"/>
      <c r="G304" s="7"/>
      <c r="H304" s="8"/>
      <c r="I304" s="7">
        <f t="shared" si="43"/>
        <v>24608.880000000001</v>
      </c>
      <c r="J304" s="7">
        <f t="shared" si="44"/>
        <v>4921.78</v>
      </c>
      <c r="K304" s="8">
        <f t="shared" si="45"/>
        <v>29530.66</v>
      </c>
    </row>
    <row r="305" spans="1:11" ht="31.5" x14ac:dyDescent="0.25">
      <c r="A305" s="6">
        <f t="shared" si="47"/>
        <v>293</v>
      </c>
      <c r="B305" s="6">
        <f t="shared" si="46"/>
        <v>293</v>
      </c>
      <c r="C305" s="12" t="s">
        <v>90</v>
      </c>
      <c r="D305" s="11" t="s">
        <v>497</v>
      </c>
      <c r="E305" s="7">
        <v>22724.68</v>
      </c>
      <c r="F305" s="7"/>
      <c r="G305" s="7"/>
      <c r="H305" s="8"/>
      <c r="I305" s="7">
        <f t="shared" si="43"/>
        <v>24608.880000000001</v>
      </c>
      <c r="J305" s="7">
        <f t="shared" si="44"/>
        <v>4921.78</v>
      </c>
      <c r="K305" s="8">
        <f t="shared" si="45"/>
        <v>29530.66</v>
      </c>
    </row>
    <row r="306" spans="1:11" ht="31.5" x14ac:dyDescent="0.25">
      <c r="A306" s="6">
        <f t="shared" si="47"/>
        <v>294</v>
      </c>
      <c r="B306" s="6">
        <f t="shared" si="46"/>
        <v>294</v>
      </c>
      <c r="C306" s="12" t="s">
        <v>91</v>
      </c>
      <c r="D306" s="11" t="s">
        <v>497</v>
      </c>
      <c r="E306" s="7">
        <v>22724.68</v>
      </c>
      <c r="F306" s="7"/>
      <c r="G306" s="7"/>
      <c r="H306" s="8"/>
      <c r="I306" s="7">
        <f t="shared" si="43"/>
        <v>24608.880000000001</v>
      </c>
      <c r="J306" s="7">
        <f t="shared" si="44"/>
        <v>4921.78</v>
      </c>
      <c r="K306" s="8">
        <f t="shared" si="45"/>
        <v>29530.66</v>
      </c>
    </row>
    <row r="307" spans="1:11" ht="31.5" x14ac:dyDescent="0.25">
      <c r="A307" s="6">
        <f t="shared" si="47"/>
        <v>295</v>
      </c>
      <c r="B307" s="6">
        <f t="shared" si="46"/>
        <v>295</v>
      </c>
      <c r="C307" s="12" t="s">
        <v>92</v>
      </c>
      <c r="D307" s="11" t="s">
        <v>497</v>
      </c>
      <c r="E307" s="7">
        <v>22724.68</v>
      </c>
      <c r="F307" s="7"/>
      <c r="G307" s="7"/>
      <c r="H307" s="8"/>
      <c r="I307" s="7">
        <f t="shared" si="43"/>
        <v>24608.880000000001</v>
      </c>
      <c r="J307" s="7">
        <f t="shared" si="44"/>
        <v>4921.78</v>
      </c>
      <c r="K307" s="8">
        <f t="shared" si="45"/>
        <v>29530.66</v>
      </c>
    </row>
    <row r="308" spans="1:11" ht="31.5" x14ac:dyDescent="0.25">
      <c r="A308" s="6">
        <f t="shared" si="47"/>
        <v>296</v>
      </c>
      <c r="B308" s="6">
        <f t="shared" si="46"/>
        <v>296</v>
      </c>
      <c r="C308" s="10" t="s">
        <v>93</v>
      </c>
      <c r="D308" s="11" t="s">
        <v>497</v>
      </c>
      <c r="E308" s="7">
        <v>1366.15</v>
      </c>
      <c r="F308" s="7"/>
      <c r="G308" s="7"/>
      <c r="H308" s="8"/>
      <c r="I308" s="7">
        <f t="shared" si="43"/>
        <v>1479.42</v>
      </c>
      <c r="J308" s="7">
        <f t="shared" si="44"/>
        <v>295.88</v>
      </c>
      <c r="K308" s="8">
        <f t="shared" si="45"/>
        <v>1775.3</v>
      </c>
    </row>
    <row r="309" spans="1:11" ht="31.5" x14ac:dyDescent="0.25">
      <c r="A309" s="6">
        <f t="shared" si="47"/>
        <v>297</v>
      </c>
      <c r="B309" s="6">
        <f t="shared" si="46"/>
        <v>297</v>
      </c>
      <c r="C309" s="12" t="s">
        <v>94</v>
      </c>
      <c r="D309" s="11" t="s">
        <v>497</v>
      </c>
      <c r="E309" s="7">
        <v>2317.37</v>
      </c>
      <c r="F309" s="7"/>
      <c r="G309" s="7"/>
      <c r="H309" s="8"/>
      <c r="I309" s="7">
        <f t="shared" si="43"/>
        <v>2509.5100000000002</v>
      </c>
      <c r="J309" s="7">
        <f t="shared" si="44"/>
        <v>501.9</v>
      </c>
      <c r="K309" s="8">
        <f t="shared" si="45"/>
        <v>3011.41</v>
      </c>
    </row>
    <row r="310" spans="1:11" ht="31.5" x14ac:dyDescent="0.25">
      <c r="A310" s="6">
        <f t="shared" si="47"/>
        <v>298</v>
      </c>
      <c r="B310" s="6">
        <f t="shared" si="46"/>
        <v>298</v>
      </c>
      <c r="C310" s="12" t="s">
        <v>95</v>
      </c>
      <c r="D310" s="11" t="s">
        <v>497</v>
      </c>
      <c r="E310" s="7">
        <v>2317.37</v>
      </c>
      <c r="F310" s="7"/>
      <c r="G310" s="7"/>
      <c r="H310" s="8"/>
      <c r="I310" s="7">
        <f t="shared" si="43"/>
        <v>2509.5100000000002</v>
      </c>
      <c r="J310" s="7">
        <f t="shared" si="44"/>
        <v>501.9</v>
      </c>
      <c r="K310" s="8">
        <f t="shared" si="45"/>
        <v>3011.41</v>
      </c>
    </row>
    <row r="311" spans="1:11" ht="31.5" x14ac:dyDescent="0.25">
      <c r="A311" s="6">
        <f t="shared" si="47"/>
        <v>299</v>
      </c>
      <c r="B311" s="6">
        <f t="shared" si="46"/>
        <v>299</v>
      </c>
      <c r="C311" s="10" t="s">
        <v>96</v>
      </c>
      <c r="D311" s="11" t="s">
        <v>493</v>
      </c>
      <c r="E311" s="7">
        <v>34042.120000000003</v>
      </c>
      <c r="F311" s="7"/>
      <c r="G311" s="7"/>
      <c r="H311" s="8"/>
      <c r="I311" s="7">
        <f t="shared" si="43"/>
        <v>36864.699999999997</v>
      </c>
      <c r="J311" s="7">
        <f t="shared" si="44"/>
        <v>7372.94</v>
      </c>
      <c r="K311" s="8">
        <f t="shared" si="45"/>
        <v>44237.64</v>
      </c>
    </row>
    <row r="312" spans="1:11" ht="31.5" x14ac:dyDescent="0.25">
      <c r="A312" s="6">
        <f t="shared" si="47"/>
        <v>300</v>
      </c>
      <c r="B312" s="6">
        <f t="shared" si="46"/>
        <v>300</v>
      </c>
      <c r="C312" s="12" t="s">
        <v>97</v>
      </c>
      <c r="D312" s="11" t="s">
        <v>493</v>
      </c>
      <c r="E312" s="7">
        <v>34042.120000000003</v>
      </c>
      <c r="F312" s="7"/>
      <c r="G312" s="7"/>
      <c r="H312" s="8"/>
      <c r="I312" s="7">
        <f t="shared" si="43"/>
        <v>36864.699999999997</v>
      </c>
      <c r="J312" s="7">
        <f t="shared" si="44"/>
        <v>7372.94</v>
      </c>
      <c r="K312" s="8">
        <f t="shared" si="45"/>
        <v>44237.64</v>
      </c>
    </row>
    <row r="313" spans="1:11" ht="31.5" x14ac:dyDescent="0.25">
      <c r="A313" s="6">
        <f t="shared" si="47"/>
        <v>301</v>
      </c>
      <c r="B313" s="6">
        <f t="shared" si="46"/>
        <v>301</v>
      </c>
      <c r="C313" s="12" t="s">
        <v>98</v>
      </c>
      <c r="D313" s="11" t="s">
        <v>493</v>
      </c>
      <c r="E313" s="7">
        <v>290.86</v>
      </c>
      <c r="F313" s="7"/>
      <c r="G313" s="7"/>
      <c r="H313" s="8"/>
      <c r="I313" s="7">
        <f t="shared" si="43"/>
        <v>314.98</v>
      </c>
      <c r="J313" s="7">
        <f t="shared" si="44"/>
        <v>63</v>
      </c>
      <c r="K313" s="8">
        <f t="shared" si="45"/>
        <v>377.98</v>
      </c>
    </row>
    <row r="314" spans="1:11" ht="31.5" x14ac:dyDescent="0.25">
      <c r="A314" s="6">
        <f t="shared" si="47"/>
        <v>302</v>
      </c>
      <c r="B314" s="6">
        <f t="shared" si="46"/>
        <v>302</v>
      </c>
      <c r="C314" s="10" t="s">
        <v>99</v>
      </c>
      <c r="D314" s="11" t="s">
        <v>493</v>
      </c>
      <c r="E314" s="7">
        <v>38847.29</v>
      </c>
      <c r="F314" s="7"/>
      <c r="G314" s="7"/>
      <c r="H314" s="8"/>
      <c r="I314" s="7">
        <f t="shared" si="43"/>
        <v>42068.28</v>
      </c>
      <c r="J314" s="7">
        <f t="shared" si="44"/>
        <v>8413.66</v>
      </c>
      <c r="K314" s="8">
        <f t="shared" si="45"/>
        <v>50481.94</v>
      </c>
    </row>
    <row r="315" spans="1:11" ht="18.75" x14ac:dyDescent="0.25">
      <c r="A315" s="6">
        <f t="shared" si="47"/>
        <v>303</v>
      </c>
      <c r="B315" s="6">
        <f t="shared" si="46"/>
        <v>303</v>
      </c>
      <c r="C315" s="12" t="s">
        <v>100</v>
      </c>
      <c r="D315" s="11" t="s">
        <v>493</v>
      </c>
      <c r="E315" s="7">
        <v>38847.29</v>
      </c>
      <c r="F315" s="7"/>
      <c r="G315" s="7"/>
      <c r="H315" s="8"/>
      <c r="I315" s="7">
        <f t="shared" si="43"/>
        <v>42068.28</v>
      </c>
      <c r="J315" s="7">
        <f t="shared" si="44"/>
        <v>8413.66</v>
      </c>
      <c r="K315" s="8">
        <f t="shared" si="45"/>
        <v>50481.94</v>
      </c>
    </row>
    <row r="316" spans="1:11" ht="18.75" x14ac:dyDescent="0.25">
      <c r="A316" s="6">
        <f t="shared" si="47"/>
        <v>304</v>
      </c>
      <c r="B316" s="6">
        <f t="shared" si="46"/>
        <v>304</v>
      </c>
      <c r="C316" s="10" t="s">
        <v>101</v>
      </c>
      <c r="D316" s="11" t="s">
        <v>494</v>
      </c>
      <c r="E316" s="7">
        <v>69.92</v>
      </c>
      <c r="F316" s="7"/>
      <c r="G316" s="7"/>
      <c r="H316" s="8"/>
      <c r="I316" s="7">
        <f t="shared" si="43"/>
        <v>75.72</v>
      </c>
      <c r="J316" s="7">
        <f t="shared" si="44"/>
        <v>15.14</v>
      </c>
      <c r="K316" s="8">
        <f t="shared" si="45"/>
        <v>90.86</v>
      </c>
    </row>
    <row r="317" spans="1:11" ht="18.75" x14ac:dyDescent="0.25">
      <c r="A317" s="6">
        <f t="shared" si="47"/>
        <v>305</v>
      </c>
      <c r="B317" s="6">
        <f t="shared" si="46"/>
        <v>305</v>
      </c>
      <c r="C317" s="10" t="s">
        <v>102</v>
      </c>
      <c r="D317" s="11" t="s">
        <v>494</v>
      </c>
      <c r="E317" s="7">
        <v>69.92</v>
      </c>
      <c r="F317" s="7"/>
      <c r="G317" s="7"/>
      <c r="H317" s="8"/>
      <c r="I317" s="7">
        <f t="shared" si="43"/>
        <v>75.72</v>
      </c>
      <c r="J317" s="7">
        <f t="shared" si="44"/>
        <v>15.14</v>
      </c>
      <c r="K317" s="8">
        <f t="shared" si="45"/>
        <v>90.86</v>
      </c>
    </row>
    <row r="318" spans="1:11" ht="18.75" x14ac:dyDescent="0.25">
      <c r="A318" s="6">
        <f t="shared" si="47"/>
        <v>306</v>
      </c>
      <c r="B318" s="6">
        <f t="shared" si="46"/>
        <v>306</v>
      </c>
      <c r="C318" s="12" t="s">
        <v>103</v>
      </c>
      <c r="D318" s="11" t="s">
        <v>493</v>
      </c>
      <c r="E318" s="7">
        <v>48054.18</v>
      </c>
      <c r="F318" s="7"/>
      <c r="G318" s="7"/>
      <c r="H318" s="8"/>
      <c r="I318" s="7">
        <f t="shared" si="43"/>
        <v>52038.55</v>
      </c>
      <c r="J318" s="7">
        <f t="shared" si="44"/>
        <v>10407.709999999999</v>
      </c>
      <c r="K318" s="8">
        <f t="shared" si="45"/>
        <v>62446.26</v>
      </c>
    </row>
    <row r="319" spans="1:11" ht="31.5" x14ac:dyDescent="0.25">
      <c r="A319" s="6">
        <f t="shared" si="47"/>
        <v>307</v>
      </c>
      <c r="B319" s="6">
        <f t="shared" si="46"/>
        <v>307</v>
      </c>
      <c r="C319" s="12" t="s">
        <v>104</v>
      </c>
      <c r="D319" s="11" t="s">
        <v>493</v>
      </c>
      <c r="E319" s="7">
        <v>48054.18</v>
      </c>
      <c r="F319" s="7"/>
      <c r="G319" s="7"/>
      <c r="H319" s="8"/>
      <c r="I319" s="7">
        <f t="shared" si="43"/>
        <v>52038.55</v>
      </c>
      <c r="J319" s="7">
        <f t="shared" si="44"/>
        <v>10407.709999999999</v>
      </c>
      <c r="K319" s="8">
        <f t="shared" si="45"/>
        <v>62446.26</v>
      </c>
    </row>
    <row r="320" spans="1:11" ht="31.5" x14ac:dyDescent="0.25">
      <c r="A320" s="6">
        <f t="shared" si="47"/>
        <v>308</v>
      </c>
      <c r="B320" s="6">
        <f t="shared" si="46"/>
        <v>308</v>
      </c>
      <c r="C320" s="10" t="s">
        <v>105</v>
      </c>
      <c r="D320" s="11" t="s">
        <v>493</v>
      </c>
      <c r="E320" s="7">
        <v>3222.63</v>
      </c>
      <c r="F320" s="7"/>
      <c r="G320" s="7"/>
      <c r="H320" s="8"/>
      <c r="I320" s="7">
        <f t="shared" si="43"/>
        <v>3489.83</v>
      </c>
      <c r="J320" s="7">
        <f t="shared" si="44"/>
        <v>697.97</v>
      </c>
      <c r="K320" s="8">
        <f t="shared" si="45"/>
        <v>4187.8</v>
      </c>
    </row>
    <row r="321" spans="1:11" ht="18.75" x14ac:dyDescent="0.25">
      <c r="A321" s="6">
        <f t="shared" si="47"/>
        <v>309</v>
      </c>
      <c r="B321" s="6">
        <f t="shared" si="46"/>
        <v>309</v>
      </c>
      <c r="C321" s="10" t="s">
        <v>106</v>
      </c>
      <c r="D321" s="11" t="s">
        <v>493</v>
      </c>
      <c r="E321" s="7">
        <v>4852.3500000000004</v>
      </c>
      <c r="F321" s="7"/>
      <c r="G321" s="7"/>
      <c r="H321" s="8"/>
      <c r="I321" s="7">
        <f t="shared" si="43"/>
        <v>5254.68</v>
      </c>
      <c r="J321" s="7">
        <f t="shared" si="44"/>
        <v>1050.94</v>
      </c>
      <c r="K321" s="8">
        <f t="shared" si="45"/>
        <v>6305.62</v>
      </c>
    </row>
    <row r="322" spans="1:11" ht="18.75" x14ac:dyDescent="0.25">
      <c r="A322" s="6">
        <f t="shared" si="47"/>
        <v>310</v>
      </c>
      <c r="B322" s="6">
        <f t="shared" si="46"/>
        <v>310</v>
      </c>
      <c r="C322" s="10" t="s">
        <v>107</v>
      </c>
      <c r="D322" s="11" t="s">
        <v>495</v>
      </c>
      <c r="E322" s="7">
        <v>51130.29</v>
      </c>
      <c r="F322" s="7"/>
      <c r="G322" s="7"/>
      <c r="H322" s="8"/>
      <c r="I322" s="7">
        <f t="shared" si="43"/>
        <v>55369.72</v>
      </c>
      <c r="J322" s="7">
        <f t="shared" si="44"/>
        <v>11073.94</v>
      </c>
      <c r="K322" s="8">
        <f t="shared" si="45"/>
        <v>66443.66</v>
      </c>
    </row>
    <row r="323" spans="1:11" ht="18.75" x14ac:dyDescent="0.25">
      <c r="A323" s="6">
        <f t="shared" si="47"/>
        <v>311</v>
      </c>
      <c r="B323" s="6">
        <f t="shared" si="46"/>
        <v>311</v>
      </c>
      <c r="C323" s="10" t="s">
        <v>108</v>
      </c>
      <c r="D323" s="11" t="s">
        <v>504</v>
      </c>
      <c r="E323" s="7">
        <v>13007.56</v>
      </c>
      <c r="F323" s="7"/>
      <c r="G323" s="7"/>
      <c r="H323" s="8"/>
      <c r="I323" s="7">
        <f t="shared" si="43"/>
        <v>14086.07</v>
      </c>
      <c r="J323" s="7">
        <f t="shared" si="44"/>
        <v>2817.21</v>
      </c>
      <c r="K323" s="8">
        <f t="shared" si="45"/>
        <v>16903.28</v>
      </c>
    </row>
    <row r="324" spans="1:11" ht="31.5" x14ac:dyDescent="0.25">
      <c r="A324" s="6">
        <f t="shared" si="47"/>
        <v>312</v>
      </c>
      <c r="B324" s="6">
        <f t="shared" si="46"/>
        <v>312</v>
      </c>
      <c r="C324" s="10" t="s">
        <v>109</v>
      </c>
      <c r="D324" s="11" t="s">
        <v>504</v>
      </c>
      <c r="E324" s="7">
        <v>3338.13</v>
      </c>
      <c r="F324" s="7"/>
      <c r="G324" s="7"/>
      <c r="H324" s="8"/>
      <c r="I324" s="7">
        <f t="shared" si="43"/>
        <v>3614.91</v>
      </c>
      <c r="J324" s="7">
        <f t="shared" si="44"/>
        <v>722.98</v>
      </c>
      <c r="K324" s="8">
        <f t="shared" si="45"/>
        <v>4337.8900000000003</v>
      </c>
    </row>
    <row r="325" spans="1:11" ht="31.5" x14ac:dyDescent="0.25">
      <c r="A325" s="6">
        <f t="shared" si="47"/>
        <v>313</v>
      </c>
      <c r="B325" s="6">
        <f t="shared" si="46"/>
        <v>313</v>
      </c>
      <c r="C325" s="10" t="s">
        <v>110</v>
      </c>
      <c r="D325" s="11" t="s">
        <v>494</v>
      </c>
      <c r="E325" s="7">
        <v>9.34</v>
      </c>
      <c r="F325" s="7"/>
      <c r="G325" s="7"/>
      <c r="H325" s="8"/>
      <c r="I325" s="7">
        <f t="shared" si="43"/>
        <v>10.11</v>
      </c>
      <c r="J325" s="7">
        <f t="shared" si="44"/>
        <v>2.02</v>
      </c>
      <c r="K325" s="8">
        <f t="shared" si="45"/>
        <v>12.13</v>
      </c>
    </row>
    <row r="326" spans="1:11" ht="31.5" x14ac:dyDescent="0.25">
      <c r="A326" s="6">
        <f t="shared" si="47"/>
        <v>314</v>
      </c>
      <c r="B326" s="6">
        <f t="shared" si="46"/>
        <v>314</v>
      </c>
      <c r="C326" s="10" t="s">
        <v>111</v>
      </c>
      <c r="D326" s="11" t="s">
        <v>494</v>
      </c>
      <c r="E326" s="7">
        <v>46.87</v>
      </c>
      <c r="F326" s="7"/>
      <c r="G326" s="7"/>
      <c r="H326" s="8"/>
      <c r="I326" s="7">
        <f t="shared" si="43"/>
        <v>50.76</v>
      </c>
      <c r="J326" s="7">
        <f t="shared" si="44"/>
        <v>10.15</v>
      </c>
      <c r="K326" s="8">
        <f t="shared" si="45"/>
        <v>60.91</v>
      </c>
    </row>
    <row r="327" spans="1:11" ht="18.75" x14ac:dyDescent="0.25">
      <c r="A327" s="6">
        <f t="shared" si="47"/>
        <v>315</v>
      </c>
      <c r="B327" s="6">
        <f t="shared" si="46"/>
        <v>315</v>
      </c>
      <c r="C327" s="12" t="s">
        <v>112</v>
      </c>
      <c r="D327" s="11" t="s">
        <v>500</v>
      </c>
      <c r="E327" s="7">
        <v>559.96</v>
      </c>
      <c r="F327" s="7"/>
      <c r="G327" s="7"/>
      <c r="H327" s="8"/>
      <c r="I327" s="7">
        <f t="shared" si="43"/>
        <v>606.39</v>
      </c>
      <c r="J327" s="7">
        <f t="shared" si="44"/>
        <v>121.28</v>
      </c>
      <c r="K327" s="8">
        <f t="shared" si="45"/>
        <v>727.67</v>
      </c>
    </row>
    <row r="328" spans="1:11" ht="31.5" x14ac:dyDescent="0.25">
      <c r="A328" s="6">
        <f t="shared" si="47"/>
        <v>316</v>
      </c>
      <c r="B328" s="6">
        <f t="shared" si="46"/>
        <v>316</v>
      </c>
      <c r="C328" s="12" t="s">
        <v>113</v>
      </c>
      <c r="D328" s="11" t="s">
        <v>499</v>
      </c>
      <c r="E328" s="7">
        <v>179.65</v>
      </c>
      <c r="F328" s="7"/>
      <c r="G328" s="7"/>
      <c r="H328" s="8"/>
      <c r="I328" s="7">
        <f t="shared" si="43"/>
        <v>194.55</v>
      </c>
      <c r="J328" s="7">
        <f t="shared" si="44"/>
        <v>38.909999999999997</v>
      </c>
      <c r="K328" s="8">
        <f t="shared" si="45"/>
        <v>233.46</v>
      </c>
    </row>
    <row r="329" spans="1:11" ht="31.5" x14ac:dyDescent="0.25">
      <c r="A329" s="6">
        <f t="shared" si="47"/>
        <v>317</v>
      </c>
      <c r="B329" s="6">
        <f t="shared" si="46"/>
        <v>317</v>
      </c>
      <c r="C329" s="12" t="s">
        <v>114</v>
      </c>
      <c r="D329" s="11" t="s">
        <v>499</v>
      </c>
      <c r="E329" s="7">
        <v>163.22999999999999</v>
      </c>
      <c r="F329" s="7"/>
      <c r="G329" s="7"/>
      <c r="H329" s="8"/>
      <c r="I329" s="7">
        <f t="shared" si="43"/>
        <v>176.76</v>
      </c>
      <c r="J329" s="7">
        <f t="shared" si="44"/>
        <v>35.35</v>
      </c>
      <c r="K329" s="8">
        <f t="shared" si="45"/>
        <v>212.11</v>
      </c>
    </row>
    <row r="330" spans="1:11" ht="18.75" x14ac:dyDescent="0.25">
      <c r="A330" s="6">
        <f t="shared" si="47"/>
        <v>318</v>
      </c>
      <c r="B330" s="6">
        <f t="shared" si="46"/>
        <v>318</v>
      </c>
      <c r="C330" s="10" t="s">
        <v>115</v>
      </c>
      <c r="D330" s="11" t="s">
        <v>499</v>
      </c>
      <c r="E330" s="7">
        <v>9.15</v>
      </c>
      <c r="F330" s="7"/>
      <c r="G330" s="7"/>
      <c r="H330" s="8"/>
      <c r="I330" s="7">
        <f t="shared" si="43"/>
        <v>9.91</v>
      </c>
      <c r="J330" s="7">
        <f t="shared" si="44"/>
        <v>1.98</v>
      </c>
      <c r="K330" s="8">
        <f t="shared" si="45"/>
        <v>11.89</v>
      </c>
    </row>
    <row r="331" spans="1:11" ht="31.5" x14ac:dyDescent="0.25">
      <c r="A331" s="6">
        <f t="shared" si="47"/>
        <v>319</v>
      </c>
      <c r="B331" s="6">
        <f t="shared" ref="B331:B350" si="48">B330+1</f>
        <v>319</v>
      </c>
      <c r="C331" s="10" t="s">
        <v>116</v>
      </c>
      <c r="D331" s="11" t="s">
        <v>499</v>
      </c>
      <c r="E331" s="7">
        <v>9.15</v>
      </c>
      <c r="F331" s="7"/>
      <c r="G331" s="7"/>
      <c r="H331" s="8"/>
      <c r="I331" s="7">
        <f t="shared" si="43"/>
        <v>9.91</v>
      </c>
      <c r="J331" s="7">
        <f t="shared" si="44"/>
        <v>1.98</v>
      </c>
      <c r="K331" s="8">
        <f t="shared" si="45"/>
        <v>11.89</v>
      </c>
    </row>
    <row r="332" spans="1:11" ht="31.5" x14ac:dyDescent="0.25">
      <c r="A332" s="6">
        <f t="shared" ref="A332:A363" si="49">A331+1</f>
        <v>320</v>
      </c>
      <c r="B332" s="6">
        <f t="shared" si="48"/>
        <v>320</v>
      </c>
      <c r="C332" s="12" t="s">
        <v>117</v>
      </c>
      <c r="D332" s="11" t="s">
        <v>499</v>
      </c>
      <c r="E332" s="7">
        <v>425.24</v>
      </c>
      <c r="F332" s="7"/>
      <c r="G332" s="7"/>
      <c r="H332" s="8"/>
      <c r="I332" s="7">
        <f t="shared" ref="I332:I395" si="50">E332*1.0083*1.074</f>
        <v>460.5</v>
      </c>
      <c r="J332" s="7">
        <f t="shared" si="44"/>
        <v>92.1</v>
      </c>
      <c r="K332" s="8">
        <f t="shared" si="45"/>
        <v>552.6</v>
      </c>
    </row>
    <row r="333" spans="1:11" ht="63" x14ac:dyDescent="0.25">
      <c r="A333" s="6">
        <f t="shared" si="49"/>
        <v>321</v>
      </c>
      <c r="B333" s="6">
        <f t="shared" si="48"/>
        <v>321</v>
      </c>
      <c r="C333" s="10" t="s">
        <v>118</v>
      </c>
      <c r="D333" s="11" t="s">
        <v>497</v>
      </c>
      <c r="E333" s="7">
        <v>21595.87</v>
      </c>
      <c r="F333" s="7"/>
      <c r="G333" s="7"/>
      <c r="H333" s="8"/>
      <c r="I333" s="7">
        <f t="shared" si="50"/>
        <v>23386.47</v>
      </c>
      <c r="J333" s="7">
        <f t="shared" si="44"/>
        <v>4677.29</v>
      </c>
      <c r="K333" s="8">
        <f t="shared" si="45"/>
        <v>28063.759999999998</v>
      </c>
    </row>
    <row r="334" spans="1:11" ht="63" x14ac:dyDescent="0.25">
      <c r="A334" s="6">
        <f t="shared" si="49"/>
        <v>322</v>
      </c>
      <c r="B334" s="6">
        <f t="shared" si="48"/>
        <v>322</v>
      </c>
      <c r="C334" s="10" t="s">
        <v>119</v>
      </c>
      <c r="D334" s="11" t="s">
        <v>497</v>
      </c>
      <c r="E334" s="7">
        <v>8444.7800000000007</v>
      </c>
      <c r="F334" s="7"/>
      <c r="G334" s="7"/>
      <c r="H334" s="8"/>
      <c r="I334" s="7">
        <f t="shared" si="50"/>
        <v>9144.9699999999993</v>
      </c>
      <c r="J334" s="7">
        <f t="shared" si="44"/>
        <v>1828.99</v>
      </c>
      <c r="K334" s="8">
        <f t="shared" si="45"/>
        <v>10973.96</v>
      </c>
    </row>
    <row r="335" spans="1:11" ht="63" x14ac:dyDescent="0.25">
      <c r="A335" s="6">
        <f t="shared" si="49"/>
        <v>323</v>
      </c>
      <c r="B335" s="6">
        <f t="shared" si="48"/>
        <v>323</v>
      </c>
      <c r="C335" s="10" t="s">
        <v>120</v>
      </c>
      <c r="D335" s="11" t="s">
        <v>497</v>
      </c>
      <c r="E335" s="7">
        <v>17827.939999999999</v>
      </c>
      <c r="F335" s="7"/>
      <c r="G335" s="7"/>
      <c r="H335" s="8"/>
      <c r="I335" s="7">
        <f t="shared" si="50"/>
        <v>19306.13</v>
      </c>
      <c r="J335" s="7">
        <f t="shared" ref="J335:J398" si="51">I335*0.2</f>
        <v>3861.23</v>
      </c>
      <c r="K335" s="8">
        <f t="shared" ref="K335:K398" si="52">I335+J335</f>
        <v>23167.360000000001</v>
      </c>
    </row>
    <row r="336" spans="1:11" ht="47.25" x14ac:dyDescent="0.25">
      <c r="A336" s="6">
        <f t="shared" si="49"/>
        <v>324</v>
      </c>
      <c r="B336" s="6">
        <f t="shared" si="48"/>
        <v>324</v>
      </c>
      <c r="C336" s="10" t="s">
        <v>121</v>
      </c>
      <c r="D336" s="11" t="s">
        <v>499</v>
      </c>
      <c r="E336" s="7">
        <v>725.59</v>
      </c>
      <c r="F336" s="7"/>
      <c r="G336" s="7"/>
      <c r="H336" s="8"/>
      <c r="I336" s="7">
        <f t="shared" si="50"/>
        <v>785.75</v>
      </c>
      <c r="J336" s="7">
        <f t="shared" si="51"/>
        <v>157.15</v>
      </c>
      <c r="K336" s="8">
        <f t="shared" si="52"/>
        <v>942.9</v>
      </c>
    </row>
    <row r="337" spans="1:11" ht="31.5" x14ac:dyDescent="0.25">
      <c r="A337" s="6">
        <f t="shared" si="49"/>
        <v>325</v>
      </c>
      <c r="B337" s="6">
        <f t="shared" si="48"/>
        <v>325</v>
      </c>
      <c r="C337" s="10" t="s">
        <v>122</v>
      </c>
      <c r="D337" s="11" t="s">
        <v>500</v>
      </c>
      <c r="E337" s="7">
        <v>795.52</v>
      </c>
      <c r="F337" s="7"/>
      <c r="G337" s="7"/>
      <c r="H337" s="8"/>
      <c r="I337" s="7">
        <f t="shared" si="50"/>
        <v>861.48</v>
      </c>
      <c r="J337" s="7">
        <f t="shared" si="51"/>
        <v>172.3</v>
      </c>
      <c r="K337" s="8">
        <f t="shared" si="52"/>
        <v>1033.78</v>
      </c>
    </row>
    <row r="338" spans="1:11" ht="47.25" x14ac:dyDescent="0.25">
      <c r="A338" s="6">
        <f t="shared" si="49"/>
        <v>326</v>
      </c>
      <c r="B338" s="6">
        <f t="shared" si="48"/>
        <v>326</v>
      </c>
      <c r="C338" s="10" t="s">
        <v>123</v>
      </c>
      <c r="D338" s="11" t="s">
        <v>497</v>
      </c>
      <c r="E338" s="7">
        <v>15943.88</v>
      </c>
      <c r="F338" s="7"/>
      <c r="G338" s="7"/>
      <c r="H338" s="8"/>
      <c r="I338" s="7">
        <f t="shared" si="50"/>
        <v>17265.849999999999</v>
      </c>
      <c r="J338" s="7">
        <f t="shared" si="51"/>
        <v>3453.17</v>
      </c>
      <c r="K338" s="8">
        <f t="shared" si="52"/>
        <v>20719.02</v>
      </c>
    </row>
    <row r="339" spans="1:11" ht="31.5" x14ac:dyDescent="0.25">
      <c r="A339" s="6">
        <f t="shared" si="49"/>
        <v>327</v>
      </c>
      <c r="B339" s="6">
        <f t="shared" si="48"/>
        <v>327</v>
      </c>
      <c r="C339" s="10" t="s">
        <v>124</v>
      </c>
      <c r="D339" s="11" t="s">
        <v>499</v>
      </c>
      <c r="E339" s="7">
        <v>79.95</v>
      </c>
      <c r="F339" s="7"/>
      <c r="G339" s="7"/>
      <c r="H339" s="8"/>
      <c r="I339" s="7">
        <f t="shared" si="50"/>
        <v>86.58</v>
      </c>
      <c r="J339" s="7">
        <f t="shared" si="51"/>
        <v>17.32</v>
      </c>
      <c r="K339" s="8">
        <f t="shared" si="52"/>
        <v>103.9</v>
      </c>
    </row>
    <row r="340" spans="1:11" ht="47.25" x14ac:dyDescent="0.25">
      <c r="A340" s="6">
        <f t="shared" si="49"/>
        <v>328</v>
      </c>
      <c r="B340" s="6">
        <f t="shared" si="48"/>
        <v>328</v>
      </c>
      <c r="C340" s="10" t="s">
        <v>125</v>
      </c>
      <c r="D340" s="11" t="s">
        <v>497</v>
      </c>
      <c r="E340" s="7">
        <v>10892.48</v>
      </c>
      <c r="F340" s="7"/>
      <c r="G340" s="7"/>
      <c r="H340" s="8"/>
      <c r="I340" s="7">
        <f t="shared" si="50"/>
        <v>11795.62</v>
      </c>
      <c r="J340" s="7">
        <f t="shared" si="51"/>
        <v>2359.12</v>
      </c>
      <c r="K340" s="8">
        <f t="shared" si="52"/>
        <v>14154.74</v>
      </c>
    </row>
    <row r="341" spans="1:11" ht="31.5" x14ac:dyDescent="0.25">
      <c r="A341" s="6">
        <f t="shared" si="49"/>
        <v>329</v>
      </c>
      <c r="B341" s="6">
        <f t="shared" si="48"/>
        <v>329</v>
      </c>
      <c r="C341" s="10" t="s">
        <v>126</v>
      </c>
      <c r="D341" s="11" t="s">
        <v>499</v>
      </c>
      <c r="E341" s="7">
        <v>114.26</v>
      </c>
      <c r="F341" s="7"/>
      <c r="G341" s="7"/>
      <c r="H341" s="8"/>
      <c r="I341" s="7">
        <f t="shared" si="50"/>
        <v>123.73</v>
      </c>
      <c r="J341" s="7">
        <f t="shared" si="51"/>
        <v>24.75</v>
      </c>
      <c r="K341" s="8">
        <f t="shared" si="52"/>
        <v>148.47999999999999</v>
      </c>
    </row>
    <row r="342" spans="1:11" ht="31.5" x14ac:dyDescent="0.25">
      <c r="A342" s="6">
        <f t="shared" si="49"/>
        <v>330</v>
      </c>
      <c r="B342" s="6">
        <f t="shared" si="48"/>
        <v>330</v>
      </c>
      <c r="C342" s="10" t="s">
        <v>127</v>
      </c>
      <c r="D342" s="11" t="s">
        <v>499</v>
      </c>
      <c r="E342" s="7">
        <v>162.62</v>
      </c>
      <c r="F342" s="7"/>
      <c r="G342" s="7"/>
      <c r="H342" s="8"/>
      <c r="I342" s="7">
        <f t="shared" si="50"/>
        <v>176.1</v>
      </c>
      <c r="J342" s="7">
        <f t="shared" si="51"/>
        <v>35.22</v>
      </c>
      <c r="K342" s="8">
        <f t="shared" si="52"/>
        <v>211.32</v>
      </c>
    </row>
    <row r="343" spans="1:11" ht="47.25" x14ac:dyDescent="0.25">
      <c r="A343" s="6">
        <f t="shared" si="49"/>
        <v>331</v>
      </c>
      <c r="B343" s="6">
        <f t="shared" si="48"/>
        <v>331</v>
      </c>
      <c r="C343" s="10" t="s">
        <v>128</v>
      </c>
      <c r="D343" s="11" t="s">
        <v>497</v>
      </c>
      <c r="E343" s="7">
        <v>16921.509999999998</v>
      </c>
      <c r="F343" s="7"/>
      <c r="G343" s="7"/>
      <c r="H343" s="8"/>
      <c r="I343" s="7">
        <f t="shared" si="50"/>
        <v>18324.54</v>
      </c>
      <c r="J343" s="7">
        <f t="shared" si="51"/>
        <v>3664.91</v>
      </c>
      <c r="K343" s="8">
        <f t="shared" si="52"/>
        <v>21989.45</v>
      </c>
    </row>
    <row r="344" spans="1:11" ht="63" x14ac:dyDescent="0.25">
      <c r="A344" s="6">
        <f t="shared" si="49"/>
        <v>332</v>
      </c>
      <c r="B344" s="6">
        <f t="shared" si="48"/>
        <v>332</v>
      </c>
      <c r="C344" s="10" t="s">
        <v>129</v>
      </c>
      <c r="D344" s="11" t="s">
        <v>497</v>
      </c>
      <c r="E344" s="7">
        <v>36684.18</v>
      </c>
      <c r="F344" s="7"/>
      <c r="G344" s="7"/>
      <c r="H344" s="8"/>
      <c r="I344" s="7">
        <f t="shared" si="50"/>
        <v>39725.82</v>
      </c>
      <c r="J344" s="7">
        <f t="shared" si="51"/>
        <v>7945.16</v>
      </c>
      <c r="K344" s="8">
        <f t="shared" si="52"/>
        <v>47670.98</v>
      </c>
    </row>
    <row r="345" spans="1:11" ht="31.5" x14ac:dyDescent="0.25">
      <c r="A345" s="6">
        <f t="shared" si="49"/>
        <v>333</v>
      </c>
      <c r="B345" s="6">
        <f t="shared" si="48"/>
        <v>333</v>
      </c>
      <c r="C345" s="10" t="s">
        <v>130</v>
      </c>
      <c r="D345" s="11" t="s">
        <v>500</v>
      </c>
      <c r="E345" s="7">
        <v>792.04</v>
      </c>
      <c r="F345" s="7"/>
      <c r="G345" s="7"/>
      <c r="H345" s="8"/>
      <c r="I345" s="7">
        <f t="shared" si="50"/>
        <v>857.71</v>
      </c>
      <c r="J345" s="7">
        <f t="shared" si="51"/>
        <v>171.54</v>
      </c>
      <c r="K345" s="8">
        <f t="shared" si="52"/>
        <v>1029.25</v>
      </c>
    </row>
    <row r="346" spans="1:11" ht="31.5" x14ac:dyDescent="0.25">
      <c r="A346" s="6">
        <f t="shared" si="49"/>
        <v>334</v>
      </c>
      <c r="B346" s="6">
        <f t="shared" si="48"/>
        <v>334</v>
      </c>
      <c r="C346" s="10" t="s">
        <v>131</v>
      </c>
      <c r="D346" s="11" t="s">
        <v>500</v>
      </c>
      <c r="E346" s="7">
        <v>1011.39</v>
      </c>
      <c r="F346" s="7"/>
      <c r="G346" s="7"/>
      <c r="H346" s="8"/>
      <c r="I346" s="7">
        <f t="shared" si="50"/>
        <v>1095.25</v>
      </c>
      <c r="J346" s="7">
        <f t="shared" si="51"/>
        <v>219.05</v>
      </c>
      <c r="K346" s="8">
        <f t="shared" si="52"/>
        <v>1314.3</v>
      </c>
    </row>
    <row r="347" spans="1:11" ht="47.25" x14ac:dyDescent="0.25">
      <c r="A347" s="6">
        <f t="shared" si="49"/>
        <v>335</v>
      </c>
      <c r="B347" s="6">
        <f t="shared" si="48"/>
        <v>335</v>
      </c>
      <c r="C347" s="10" t="s">
        <v>132</v>
      </c>
      <c r="D347" s="11" t="s">
        <v>497</v>
      </c>
      <c r="E347" s="7">
        <v>9798.2800000000007</v>
      </c>
      <c r="F347" s="7"/>
      <c r="G347" s="7"/>
      <c r="H347" s="8"/>
      <c r="I347" s="7">
        <f t="shared" si="50"/>
        <v>10610.7</v>
      </c>
      <c r="J347" s="7">
        <f t="shared" si="51"/>
        <v>2122.14</v>
      </c>
      <c r="K347" s="8">
        <f t="shared" si="52"/>
        <v>12732.84</v>
      </c>
    </row>
    <row r="348" spans="1:11" ht="63" x14ac:dyDescent="0.25">
      <c r="A348" s="6">
        <f t="shared" si="49"/>
        <v>336</v>
      </c>
      <c r="B348" s="6">
        <f t="shared" si="48"/>
        <v>336</v>
      </c>
      <c r="C348" s="10" t="s">
        <v>133</v>
      </c>
      <c r="D348" s="11" t="s">
        <v>497</v>
      </c>
      <c r="E348" s="7">
        <v>13405.55</v>
      </c>
      <c r="F348" s="7"/>
      <c r="G348" s="7"/>
      <c r="H348" s="8"/>
      <c r="I348" s="7">
        <f t="shared" si="50"/>
        <v>14517.06</v>
      </c>
      <c r="J348" s="7">
        <f t="shared" si="51"/>
        <v>2903.41</v>
      </c>
      <c r="K348" s="8">
        <f t="shared" si="52"/>
        <v>17420.47</v>
      </c>
    </row>
    <row r="349" spans="1:11" ht="63" x14ac:dyDescent="0.25">
      <c r="A349" s="6">
        <f t="shared" si="49"/>
        <v>337</v>
      </c>
      <c r="B349" s="6">
        <f t="shared" si="48"/>
        <v>337</v>
      </c>
      <c r="C349" s="10" t="s">
        <v>134</v>
      </c>
      <c r="D349" s="11" t="s">
        <v>497</v>
      </c>
      <c r="E349" s="7">
        <v>14231.73</v>
      </c>
      <c r="F349" s="7"/>
      <c r="G349" s="7"/>
      <c r="H349" s="8"/>
      <c r="I349" s="7">
        <f t="shared" si="50"/>
        <v>15411.74</v>
      </c>
      <c r="J349" s="7">
        <f t="shared" si="51"/>
        <v>3082.35</v>
      </c>
      <c r="K349" s="8">
        <f t="shared" si="52"/>
        <v>18494.09</v>
      </c>
    </row>
    <row r="350" spans="1:11" ht="47.25" x14ac:dyDescent="0.25">
      <c r="A350" s="6">
        <f t="shared" si="49"/>
        <v>338</v>
      </c>
      <c r="B350" s="6">
        <f t="shared" si="48"/>
        <v>338</v>
      </c>
      <c r="C350" s="10" t="s">
        <v>135</v>
      </c>
      <c r="D350" s="11" t="s">
        <v>497</v>
      </c>
      <c r="E350" s="7">
        <v>81580.17</v>
      </c>
      <c r="F350" s="7"/>
      <c r="G350" s="7"/>
      <c r="H350" s="8"/>
      <c r="I350" s="7">
        <f t="shared" si="50"/>
        <v>88344.320000000007</v>
      </c>
      <c r="J350" s="7">
        <f t="shared" si="51"/>
        <v>17668.86</v>
      </c>
      <c r="K350" s="8">
        <f t="shared" si="52"/>
        <v>106013.18</v>
      </c>
    </row>
    <row r="351" spans="1:11" ht="47.25" x14ac:dyDescent="0.25">
      <c r="A351" s="6">
        <f t="shared" si="49"/>
        <v>339</v>
      </c>
      <c r="B351" s="6">
        <f t="shared" ref="B351:B414" si="53">B350+1</f>
        <v>339</v>
      </c>
      <c r="C351" s="10" t="s">
        <v>136</v>
      </c>
      <c r="D351" s="11" t="s">
        <v>497</v>
      </c>
      <c r="E351" s="7">
        <v>44382.51</v>
      </c>
      <c r="F351" s="7"/>
      <c r="G351" s="7"/>
      <c r="H351" s="8"/>
      <c r="I351" s="7">
        <f t="shared" si="50"/>
        <v>48062.45</v>
      </c>
      <c r="J351" s="7">
        <f t="shared" si="51"/>
        <v>9612.49</v>
      </c>
      <c r="K351" s="8">
        <f t="shared" si="52"/>
        <v>57674.94</v>
      </c>
    </row>
    <row r="352" spans="1:11" ht="47.25" x14ac:dyDescent="0.25">
      <c r="A352" s="6">
        <f t="shared" si="49"/>
        <v>340</v>
      </c>
      <c r="B352" s="6">
        <f t="shared" si="53"/>
        <v>340</v>
      </c>
      <c r="C352" s="10" t="s">
        <v>137</v>
      </c>
      <c r="D352" s="11" t="s">
        <v>494</v>
      </c>
      <c r="E352" s="7">
        <v>847.67</v>
      </c>
      <c r="F352" s="7"/>
      <c r="G352" s="7"/>
      <c r="H352" s="8"/>
      <c r="I352" s="7">
        <f t="shared" si="50"/>
        <v>917.95</v>
      </c>
      <c r="J352" s="7">
        <f t="shared" si="51"/>
        <v>183.59</v>
      </c>
      <c r="K352" s="8">
        <f t="shared" si="52"/>
        <v>1101.54</v>
      </c>
    </row>
    <row r="353" spans="1:11" ht="31.5" x14ac:dyDescent="0.25">
      <c r="A353" s="6">
        <f t="shared" si="49"/>
        <v>341</v>
      </c>
      <c r="B353" s="6">
        <f t="shared" si="53"/>
        <v>341</v>
      </c>
      <c r="C353" s="10" t="s">
        <v>138</v>
      </c>
      <c r="D353" s="11" t="s">
        <v>499</v>
      </c>
      <c r="E353" s="7">
        <v>213</v>
      </c>
      <c r="F353" s="7"/>
      <c r="G353" s="7"/>
      <c r="H353" s="8"/>
      <c r="I353" s="7">
        <f t="shared" si="50"/>
        <v>230.66</v>
      </c>
      <c r="J353" s="7">
        <f t="shared" si="51"/>
        <v>46.13</v>
      </c>
      <c r="K353" s="8">
        <f t="shared" si="52"/>
        <v>276.79000000000002</v>
      </c>
    </row>
    <row r="354" spans="1:11" ht="31.5" x14ac:dyDescent="0.25">
      <c r="A354" s="6">
        <f t="shared" si="49"/>
        <v>342</v>
      </c>
      <c r="B354" s="6">
        <f t="shared" si="53"/>
        <v>342</v>
      </c>
      <c r="C354" s="10" t="s">
        <v>139</v>
      </c>
      <c r="D354" s="11" t="s">
        <v>494</v>
      </c>
      <c r="E354" s="7">
        <v>933.27</v>
      </c>
      <c r="F354" s="7"/>
      <c r="G354" s="7"/>
      <c r="H354" s="8"/>
      <c r="I354" s="7">
        <f t="shared" si="50"/>
        <v>1010.65</v>
      </c>
      <c r="J354" s="7">
        <f t="shared" si="51"/>
        <v>202.13</v>
      </c>
      <c r="K354" s="8">
        <f t="shared" si="52"/>
        <v>1212.78</v>
      </c>
    </row>
    <row r="355" spans="1:11" ht="31.5" x14ac:dyDescent="0.25">
      <c r="A355" s="6">
        <f t="shared" si="49"/>
        <v>343</v>
      </c>
      <c r="B355" s="6">
        <f t="shared" si="53"/>
        <v>343</v>
      </c>
      <c r="C355" s="12" t="s">
        <v>140</v>
      </c>
      <c r="D355" s="11" t="s">
        <v>497</v>
      </c>
      <c r="E355" s="7">
        <v>29064.05</v>
      </c>
      <c r="F355" s="7"/>
      <c r="G355" s="7"/>
      <c r="H355" s="8"/>
      <c r="I355" s="7">
        <f t="shared" si="50"/>
        <v>31473.87</v>
      </c>
      <c r="J355" s="7">
        <f t="shared" si="51"/>
        <v>6294.77</v>
      </c>
      <c r="K355" s="8">
        <f t="shared" si="52"/>
        <v>37768.639999999999</v>
      </c>
    </row>
    <row r="356" spans="1:11" ht="31.5" x14ac:dyDescent="0.25">
      <c r="A356" s="6">
        <f t="shared" si="49"/>
        <v>344</v>
      </c>
      <c r="B356" s="6">
        <f t="shared" si="53"/>
        <v>344</v>
      </c>
      <c r="C356" s="12" t="s">
        <v>141</v>
      </c>
      <c r="D356" s="11" t="s">
        <v>497</v>
      </c>
      <c r="E356" s="7">
        <v>29064.05</v>
      </c>
      <c r="F356" s="7"/>
      <c r="G356" s="7"/>
      <c r="H356" s="8"/>
      <c r="I356" s="7">
        <f t="shared" si="50"/>
        <v>31473.87</v>
      </c>
      <c r="J356" s="7">
        <f t="shared" si="51"/>
        <v>6294.77</v>
      </c>
      <c r="K356" s="8">
        <f t="shared" si="52"/>
        <v>37768.639999999999</v>
      </c>
    </row>
    <row r="357" spans="1:11" ht="31.5" x14ac:dyDescent="0.25">
      <c r="A357" s="6">
        <f t="shared" si="49"/>
        <v>345</v>
      </c>
      <c r="B357" s="6">
        <f t="shared" si="53"/>
        <v>345</v>
      </c>
      <c r="C357" s="12" t="s">
        <v>142</v>
      </c>
      <c r="D357" s="11" t="s">
        <v>497</v>
      </c>
      <c r="E357" s="7">
        <v>44382.51</v>
      </c>
      <c r="F357" s="7"/>
      <c r="G357" s="7"/>
      <c r="H357" s="8"/>
      <c r="I357" s="7">
        <f t="shared" si="50"/>
        <v>48062.45</v>
      </c>
      <c r="J357" s="7">
        <f t="shared" si="51"/>
        <v>9612.49</v>
      </c>
      <c r="K357" s="8">
        <f t="shared" si="52"/>
        <v>57674.94</v>
      </c>
    </row>
    <row r="358" spans="1:11" ht="31.5" x14ac:dyDescent="0.25">
      <c r="A358" s="6">
        <f t="shared" si="49"/>
        <v>346</v>
      </c>
      <c r="B358" s="6">
        <f t="shared" si="53"/>
        <v>346</v>
      </c>
      <c r="C358" s="12" t="s">
        <v>143</v>
      </c>
      <c r="D358" s="11" t="s">
        <v>497</v>
      </c>
      <c r="E358" s="7">
        <v>16921.509999999998</v>
      </c>
      <c r="F358" s="7"/>
      <c r="G358" s="7"/>
      <c r="H358" s="8"/>
      <c r="I358" s="7">
        <f t="shared" si="50"/>
        <v>18324.54</v>
      </c>
      <c r="J358" s="7">
        <f t="shared" si="51"/>
        <v>3664.91</v>
      </c>
      <c r="K358" s="8">
        <f t="shared" si="52"/>
        <v>21989.45</v>
      </c>
    </row>
    <row r="359" spans="1:11" ht="31.5" x14ac:dyDescent="0.25">
      <c r="A359" s="6">
        <f t="shared" si="49"/>
        <v>347</v>
      </c>
      <c r="B359" s="6">
        <f t="shared" si="53"/>
        <v>347</v>
      </c>
      <c r="C359" s="12" t="s">
        <v>144</v>
      </c>
      <c r="D359" s="11" t="s">
        <v>499</v>
      </c>
      <c r="E359" s="7">
        <v>725.59</v>
      </c>
      <c r="F359" s="7"/>
      <c r="G359" s="7"/>
      <c r="H359" s="8"/>
      <c r="I359" s="7">
        <f t="shared" si="50"/>
        <v>785.75</v>
      </c>
      <c r="J359" s="7">
        <f t="shared" si="51"/>
        <v>157.15</v>
      </c>
      <c r="K359" s="8">
        <f t="shared" si="52"/>
        <v>942.9</v>
      </c>
    </row>
    <row r="360" spans="1:11" ht="31.5" x14ac:dyDescent="0.25">
      <c r="A360" s="6">
        <f t="shared" si="49"/>
        <v>348</v>
      </c>
      <c r="B360" s="6">
        <f t="shared" si="53"/>
        <v>348</v>
      </c>
      <c r="C360" s="12" t="s">
        <v>145</v>
      </c>
      <c r="D360" s="11" t="s">
        <v>499</v>
      </c>
      <c r="E360" s="7">
        <v>76.41</v>
      </c>
      <c r="F360" s="7"/>
      <c r="G360" s="7"/>
      <c r="H360" s="8"/>
      <c r="I360" s="7">
        <f t="shared" si="50"/>
        <v>82.75</v>
      </c>
      <c r="J360" s="7">
        <f t="shared" si="51"/>
        <v>16.55</v>
      </c>
      <c r="K360" s="8">
        <f t="shared" si="52"/>
        <v>99.3</v>
      </c>
    </row>
    <row r="361" spans="1:11" ht="31.5" x14ac:dyDescent="0.25">
      <c r="A361" s="6">
        <f t="shared" si="49"/>
        <v>349</v>
      </c>
      <c r="B361" s="6">
        <f t="shared" si="53"/>
        <v>349</v>
      </c>
      <c r="C361" s="12" t="s">
        <v>146</v>
      </c>
      <c r="D361" s="11" t="s">
        <v>494</v>
      </c>
      <c r="E361" s="7">
        <v>810.95</v>
      </c>
      <c r="F361" s="7"/>
      <c r="G361" s="7"/>
      <c r="H361" s="8"/>
      <c r="I361" s="7">
        <f t="shared" si="50"/>
        <v>878.19</v>
      </c>
      <c r="J361" s="7">
        <f t="shared" si="51"/>
        <v>175.64</v>
      </c>
      <c r="K361" s="8">
        <f t="shared" si="52"/>
        <v>1053.83</v>
      </c>
    </row>
    <row r="362" spans="1:11" ht="47.25" x14ac:dyDescent="0.25">
      <c r="A362" s="6">
        <f t="shared" si="49"/>
        <v>350</v>
      </c>
      <c r="B362" s="6">
        <f t="shared" si="53"/>
        <v>350</v>
      </c>
      <c r="C362" s="12" t="s">
        <v>147</v>
      </c>
      <c r="D362" s="11" t="s">
        <v>497</v>
      </c>
      <c r="E362" s="7">
        <v>115139.75</v>
      </c>
      <c r="F362" s="7"/>
      <c r="G362" s="7"/>
      <c r="H362" s="8"/>
      <c r="I362" s="7">
        <f t="shared" si="50"/>
        <v>124686.47</v>
      </c>
      <c r="J362" s="7">
        <f t="shared" si="51"/>
        <v>24937.29</v>
      </c>
      <c r="K362" s="8">
        <f t="shared" si="52"/>
        <v>149623.76</v>
      </c>
    </row>
    <row r="363" spans="1:11" ht="47.25" x14ac:dyDescent="0.25">
      <c r="A363" s="6">
        <f t="shared" si="49"/>
        <v>351</v>
      </c>
      <c r="B363" s="6">
        <f t="shared" si="53"/>
        <v>351</v>
      </c>
      <c r="C363" s="12" t="s">
        <v>148</v>
      </c>
      <c r="D363" s="11" t="s">
        <v>497</v>
      </c>
      <c r="E363" s="7">
        <v>115139.75</v>
      </c>
      <c r="F363" s="7"/>
      <c r="G363" s="7"/>
      <c r="H363" s="8"/>
      <c r="I363" s="7">
        <f t="shared" si="50"/>
        <v>124686.47</v>
      </c>
      <c r="J363" s="7">
        <f t="shared" si="51"/>
        <v>24937.29</v>
      </c>
      <c r="K363" s="8">
        <f t="shared" si="52"/>
        <v>149623.76</v>
      </c>
    </row>
    <row r="364" spans="1:11" ht="47.25" x14ac:dyDescent="0.25">
      <c r="A364" s="6">
        <f t="shared" ref="A364:A395" si="54">A363+1</f>
        <v>352</v>
      </c>
      <c r="B364" s="6">
        <f t="shared" si="53"/>
        <v>352</v>
      </c>
      <c r="C364" s="12" t="s">
        <v>149</v>
      </c>
      <c r="D364" s="11" t="s">
        <v>497</v>
      </c>
      <c r="E364" s="7">
        <v>115139.75</v>
      </c>
      <c r="F364" s="7"/>
      <c r="G364" s="7"/>
      <c r="H364" s="8"/>
      <c r="I364" s="7">
        <f t="shared" si="50"/>
        <v>124686.47</v>
      </c>
      <c r="J364" s="7">
        <f t="shared" si="51"/>
        <v>24937.29</v>
      </c>
      <c r="K364" s="8">
        <f t="shared" si="52"/>
        <v>149623.76</v>
      </c>
    </row>
    <row r="365" spans="1:11" ht="47.25" x14ac:dyDescent="0.25">
      <c r="A365" s="6">
        <f t="shared" si="54"/>
        <v>353</v>
      </c>
      <c r="B365" s="6">
        <f t="shared" si="53"/>
        <v>353</v>
      </c>
      <c r="C365" s="12" t="s">
        <v>150</v>
      </c>
      <c r="D365" s="11" t="s">
        <v>497</v>
      </c>
      <c r="E365" s="7">
        <v>226445.24</v>
      </c>
      <c r="F365" s="7"/>
      <c r="G365" s="7"/>
      <c r="H365" s="8"/>
      <c r="I365" s="7">
        <f t="shared" si="50"/>
        <v>245220.77</v>
      </c>
      <c r="J365" s="7">
        <f t="shared" si="51"/>
        <v>49044.15</v>
      </c>
      <c r="K365" s="8">
        <f t="shared" si="52"/>
        <v>294264.92</v>
      </c>
    </row>
    <row r="366" spans="1:11" ht="47.25" x14ac:dyDescent="0.25">
      <c r="A366" s="6">
        <f t="shared" si="54"/>
        <v>354</v>
      </c>
      <c r="B366" s="6">
        <f t="shared" si="53"/>
        <v>354</v>
      </c>
      <c r="C366" s="12" t="s">
        <v>151</v>
      </c>
      <c r="D366" s="11" t="s">
        <v>497</v>
      </c>
      <c r="E366" s="7">
        <v>30036.240000000002</v>
      </c>
      <c r="F366" s="7"/>
      <c r="G366" s="7"/>
      <c r="H366" s="8"/>
      <c r="I366" s="7">
        <f t="shared" si="50"/>
        <v>32526.67</v>
      </c>
      <c r="J366" s="7">
        <f t="shared" si="51"/>
        <v>6505.33</v>
      </c>
      <c r="K366" s="8">
        <f t="shared" si="52"/>
        <v>39032</v>
      </c>
    </row>
    <row r="367" spans="1:11" ht="47.25" x14ac:dyDescent="0.25">
      <c r="A367" s="6">
        <f t="shared" si="54"/>
        <v>355</v>
      </c>
      <c r="B367" s="6">
        <f t="shared" si="53"/>
        <v>355</v>
      </c>
      <c r="C367" s="12" t="s">
        <v>152</v>
      </c>
      <c r="D367" s="11" t="s">
        <v>497</v>
      </c>
      <c r="E367" s="7">
        <v>87341.4</v>
      </c>
      <c r="F367" s="7"/>
      <c r="G367" s="7"/>
      <c r="H367" s="8"/>
      <c r="I367" s="7">
        <f t="shared" si="50"/>
        <v>94583.24</v>
      </c>
      <c r="J367" s="7">
        <f t="shared" si="51"/>
        <v>18916.650000000001</v>
      </c>
      <c r="K367" s="8">
        <f t="shared" si="52"/>
        <v>113499.89</v>
      </c>
    </row>
    <row r="368" spans="1:11" ht="47.25" x14ac:dyDescent="0.25">
      <c r="A368" s="6">
        <f t="shared" si="54"/>
        <v>356</v>
      </c>
      <c r="B368" s="6">
        <f t="shared" si="53"/>
        <v>356</v>
      </c>
      <c r="C368" s="12" t="s">
        <v>153</v>
      </c>
      <c r="D368" s="11" t="s">
        <v>497</v>
      </c>
      <c r="E368" s="7">
        <v>59714.83</v>
      </c>
      <c r="F368" s="7"/>
      <c r="G368" s="7"/>
      <c r="H368" s="8"/>
      <c r="I368" s="7">
        <f t="shared" si="50"/>
        <v>64666.04</v>
      </c>
      <c r="J368" s="7">
        <f t="shared" si="51"/>
        <v>12933.21</v>
      </c>
      <c r="K368" s="8">
        <f t="shared" si="52"/>
        <v>77599.25</v>
      </c>
    </row>
    <row r="369" spans="1:11" ht="47.25" x14ac:dyDescent="0.25">
      <c r="A369" s="6">
        <f t="shared" si="54"/>
        <v>357</v>
      </c>
      <c r="B369" s="6">
        <f t="shared" si="53"/>
        <v>357</v>
      </c>
      <c r="C369" s="12" t="s">
        <v>154</v>
      </c>
      <c r="D369" s="11" t="s">
        <v>497</v>
      </c>
      <c r="E369" s="7">
        <v>59714.83</v>
      </c>
      <c r="F369" s="7"/>
      <c r="G369" s="7"/>
      <c r="H369" s="8"/>
      <c r="I369" s="7">
        <f t="shared" si="50"/>
        <v>64666.04</v>
      </c>
      <c r="J369" s="7">
        <f t="shared" si="51"/>
        <v>12933.21</v>
      </c>
      <c r="K369" s="8">
        <f t="shared" si="52"/>
        <v>77599.25</v>
      </c>
    </row>
    <row r="370" spans="1:11" ht="47.25" x14ac:dyDescent="0.25">
      <c r="A370" s="6">
        <f t="shared" si="54"/>
        <v>358</v>
      </c>
      <c r="B370" s="6">
        <f t="shared" si="53"/>
        <v>358</v>
      </c>
      <c r="C370" s="12" t="s">
        <v>155</v>
      </c>
      <c r="D370" s="11" t="s">
        <v>499</v>
      </c>
      <c r="E370" s="7">
        <v>78.599999999999994</v>
      </c>
      <c r="F370" s="7"/>
      <c r="G370" s="7"/>
      <c r="H370" s="8"/>
      <c r="I370" s="7">
        <f t="shared" si="50"/>
        <v>85.12</v>
      </c>
      <c r="J370" s="7">
        <f t="shared" si="51"/>
        <v>17.02</v>
      </c>
      <c r="K370" s="8">
        <f t="shared" si="52"/>
        <v>102.14</v>
      </c>
    </row>
    <row r="371" spans="1:11" ht="47.25" x14ac:dyDescent="0.25">
      <c r="A371" s="6">
        <f t="shared" si="54"/>
        <v>359</v>
      </c>
      <c r="B371" s="6">
        <f t="shared" si="53"/>
        <v>359</v>
      </c>
      <c r="C371" s="12" t="s">
        <v>156</v>
      </c>
      <c r="D371" s="11" t="s">
        <v>499</v>
      </c>
      <c r="E371" s="7">
        <v>2488.19</v>
      </c>
      <c r="F371" s="7"/>
      <c r="G371" s="7"/>
      <c r="H371" s="8"/>
      <c r="I371" s="7">
        <f t="shared" si="50"/>
        <v>2694.5</v>
      </c>
      <c r="J371" s="7">
        <f t="shared" si="51"/>
        <v>538.9</v>
      </c>
      <c r="K371" s="8">
        <f t="shared" si="52"/>
        <v>3233.4</v>
      </c>
    </row>
    <row r="372" spans="1:11" ht="47.25" x14ac:dyDescent="0.25">
      <c r="A372" s="6">
        <f t="shared" si="54"/>
        <v>360</v>
      </c>
      <c r="B372" s="6">
        <f t="shared" si="53"/>
        <v>360</v>
      </c>
      <c r="C372" s="12" t="s">
        <v>157</v>
      </c>
      <c r="D372" s="11" t="s">
        <v>500</v>
      </c>
      <c r="E372" s="7">
        <v>2431.48</v>
      </c>
      <c r="F372" s="7"/>
      <c r="G372" s="7"/>
      <c r="H372" s="8"/>
      <c r="I372" s="7">
        <f t="shared" si="50"/>
        <v>2633.08</v>
      </c>
      <c r="J372" s="7">
        <f t="shared" si="51"/>
        <v>526.62</v>
      </c>
      <c r="K372" s="8">
        <f t="shared" si="52"/>
        <v>3159.7</v>
      </c>
    </row>
    <row r="373" spans="1:11" ht="47.25" x14ac:dyDescent="0.25">
      <c r="A373" s="6">
        <f t="shared" si="54"/>
        <v>361</v>
      </c>
      <c r="B373" s="6">
        <f t="shared" si="53"/>
        <v>361</v>
      </c>
      <c r="C373" s="12" t="s">
        <v>158</v>
      </c>
      <c r="D373" s="11" t="s">
        <v>500</v>
      </c>
      <c r="E373" s="7">
        <v>3008.68</v>
      </c>
      <c r="F373" s="7"/>
      <c r="G373" s="7"/>
      <c r="H373" s="8"/>
      <c r="I373" s="7">
        <f t="shared" si="50"/>
        <v>3258.14</v>
      </c>
      <c r="J373" s="7">
        <f t="shared" si="51"/>
        <v>651.63</v>
      </c>
      <c r="K373" s="8">
        <f t="shared" si="52"/>
        <v>3909.77</v>
      </c>
    </row>
    <row r="374" spans="1:11" ht="47.25" x14ac:dyDescent="0.25">
      <c r="A374" s="6">
        <f t="shared" si="54"/>
        <v>362</v>
      </c>
      <c r="B374" s="6">
        <f t="shared" si="53"/>
        <v>362</v>
      </c>
      <c r="C374" s="12" t="s">
        <v>159</v>
      </c>
      <c r="D374" s="11" t="s">
        <v>500</v>
      </c>
      <c r="E374" s="7">
        <v>2451.23</v>
      </c>
      <c r="F374" s="7"/>
      <c r="G374" s="7"/>
      <c r="H374" s="8"/>
      <c r="I374" s="7">
        <f t="shared" si="50"/>
        <v>2654.47</v>
      </c>
      <c r="J374" s="7">
        <f t="shared" si="51"/>
        <v>530.89</v>
      </c>
      <c r="K374" s="8">
        <f t="shared" si="52"/>
        <v>3185.36</v>
      </c>
    </row>
    <row r="375" spans="1:11" ht="47.25" x14ac:dyDescent="0.25">
      <c r="A375" s="6">
        <f t="shared" si="54"/>
        <v>363</v>
      </c>
      <c r="B375" s="6">
        <f t="shared" si="53"/>
        <v>363</v>
      </c>
      <c r="C375" s="12" t="s">
        <v>160</v>
      </c>
      <c r="D375" s="11" t="s">
        <v>494</v>
      </c>
      <c r="E375" s="7">
        <v>868.47</v>
      </c>
      <c r="F375" s="7"/>
      <c r="G375" s="7"/>
      <c r="H375" s="8"/>
      <c r="I375" s="7">
        <f t="shared" si="50"/>
        <v>940.48</v>
      </c>
      <c r="J375" s="7">
        <f t="shared" si="51"/>
        <v>188.1</v>
      </c>
      <c r="K375" s="8">
        <f t="shared" si="52"/>
        <v>1128.58</v>
      </c>
    </row>
    <row r="376" spans="1:11" ht="47.25" x14ac:dyDescent="0.25">
      <c r="A376" s="6">
        <f t="shared" si="54"/>
        <v>364</v>
      </c>
      <c r="B376" s="6">
        <f t="shared" si="53"/>
        <v>364</v>
      </c>
      <c r="C376" s="12" t="s">
        <v>161</v>
      </c>
      <c r="D376" s="11" t="s">
        <v>494</v>
      </c>
      <c r="E376" s="7">
        <v>868.47</v>
      </c>
      <c r="F376" s="7"/>
      <c r="G376" s="7"/>
      <c r="H376" s="8"/>
      <c r="I376" s="7">
        <f t="shared" si="50"/>
        <v>940.48</v>
      </c>
      <c r="J376" s="7">
        <f t="shared" si="51"/>
        <v>188.1</v>
      </c>
      <c r="K376" s="8">
        <f t="shared" si="52"/>
        <v>1128.58</v>
      </c>
    </row>
    <row r="377" spans="1:11" ht="47.25" x14ac:dyDescent="0.25">
      <c r="A377" s="6">
        <f t="shared" si="54"/>
        <v>365</v>
      </c>
      <c r="B377" s="6">
        <f t="shared" si="53"/>
        <v>365</v>
      </c>
      <c r="C377" s="12" t="s">
        <v>162</v>
      </c>
      <c r="D377" s="11" t="s">
        <v>494</v>
      </c>
      <c r="E377" s="7">
        <v>868.47</v>
      </c>
      <c r="F377" s="7"/>
      <c r="G377" s="7"/>
      <c r="H377" s="8"/>
      <c r="I377" s="7">
        <f t="shared" si="50"/>
        <v>940.48</v>
      </c>
      <c r="J377" s="7">
        <f t="shared" si="51"/>
        <v>188.1</v>
      </c>
      <c r="K377" s="8">
        <f t="shared" si="52"/>
        <v>1128.58</v>
      </c>
    </row>
    <row r="378" spans="1:11" ht="47.25" x14ac:dyDescent="0.25">
      <c r="A378" s="6">
        <f t="shared" si="54"/>
        <v>366</v>
      </c>
      <c r="B378" s="6">
        <f t="shared" si="53"/>
        <v>366</v>
      </c>
      <c r="C378" s="12" t="s">
        <v>163</v>
      </c>
      <c r="D378" s="11" t="s">
        <v>497</v>
      </c>
      <c r="E378" s="7">
        <v>198373.49</v>
      </c>
      <c r="F378" s="7"/>
      <c r="G378" s="7"/>
      <c r="H378" s="8"/>
      <c r="I378" s="7">
        <f t="shared" si="50"/>
        <v>214821.47</v>
      </c>
      <c r="J378" s="7">
        <f t="shared" si="51"/>
        <v>42964.29</v>
      </c>
      <c r="K378" s="8">
        <f t="shared" si="52"/>
        <v>257785.76</v>
      </c>
    </row>
    <row r="379" spans="1:11" ht="31.5" x14ac:dyDescent="0.25">
      <c r="A379" s="6">
        <f t="shared" si="54"/>
        <v>367</v>
      </c>
      <c r="B379" s="6">
        <f t="shared" si="53"/>
        <v>367</v>
      </c>
      <c r="C379" s="10" t="s">
        <v>164</v>
      </c>
      <c r="D379" s="11" t="s">
        <v>497</v>
      </c>
      <c r="E379" s="7">
        <v>193359.52</v>
      </c>
      <c r="F379" s="7"/>
      <c r="G379" s="7"/>
      <c r="H379" s="8"/>
      <c r="I379" s="7">
        <f t="shared" si="50"/>
        <v>209391.77</v>
      </c>
      <c r="J379" s="7">
        <f t="shared" si="51"/>
        <v>41878.35</v>
      </c>
      <c r="K379" s="8">
        <f t="shared" si="52"/>
        <v>251270.12</v>
      </c>
    </row>
    <row r="380" spans="1:11" ht="31.5" x14ac:dyDescent="0.25">
      <c r="A380" s="6">
        <f t="shared" si="54"/>
        <v>368</v>
      </c>
      <c r="B380" s="6">
        <f t="shared" si="53"/>
        <v>368</v>
      </c>
      <c r="C380" s="10" t="s">
        <v>165</v>
      </c>
      <c r="D380" s="11" t="s">
        <v>499</v>
      </c>
      <c r="E380" s="7">
        <v>4920.51</v>
      </c>
      <c r="F380" s="7"/>
      <c r="G380" s="7"/>
      <c r="H380" s="8"/>
      <c r="I380" s="7">
        <f t="shared" si="50"/>
        <v>5328.49</v>
      </c>
      <c r="J380" s="7">
        <f t="shared" si="51"/>
        <v>1065.7</v>
      </c>
      <c r="K380" s="8">
        <f t="shared" si="52"/>
        <v>6394.19</v>
      </c>
    </row>
    <row r="381" spans="1:11" ht="18.75" x14ac:dyDescent="0.25">
      <c r="A381" s="6">
        <f t="shared" si="54"/>
        <v>369</v>
      </c>
      <c r="B381" s="6">
        <f t="shared" si="53"/>
        <v>369</v>
      </c>
      <c r="C381" s="10" t="s">
        <v>166</v>
      </c>
      <c r="D381" s="11" t="s">
        <v>499</v>
      </c>
      <c r="E381" s="7">
        <v>87.57</v>
      </c>
      <c r="F381" s="7"/>
      <c r="G381" s="7"/>
      <c r="H381" s="8"/>
      <c r="I381" s="7">
        <f t="shared" si="50"/>
        <v>94.83</v>
      </c>
      <c r="J381" s="7">
        <f t="shared" si="51"/>
        <v>18.97</v>
      </c>
      <c r="K381" s="8">
        <f t="shared" si="52"/>
        <v>113.8</v>
      </c>
    </row>
    <row r="382" spans="1:11" ht="18.75" x14ac:dyDescent="0.25">
      <c r="A382" s="6">
        <f t="shared" si="54"/>
        <v>370</v>
      </c>
      <c r="B382" s="6">
        <f t="shared" si="53"/>
        <v>370</v>
      </c>
      <c r="C382" s="10" t="s">
        <v>167</v>
      </c>
      <c r="D382" s="11" t="s">
        <v>503</v>
      </c>
      <c r="E382" s="7">
        <v>28986.880000000001</v>
      </c>
      <c r="F382" s="7"/>
      <c r="G382" s="7"/>
      <c r="H382" s="8"/>
      <c r="I382" s="7">
        <f t="shared" si="50"/>
        <v>31390.3</v>
      </c>
      <c r="J382" s="7">
        <f t="shared" si="51"/>
        <v>6278.06</v>
      </c>
      <c r="K382" s="8">
        <f t="shared" si="52"/>
        <v>37668.36</v>
      </c>
    </row>
    <row r="383" spans="1:11" ht="18.75" x14ac:dyDescent="0.25">
      <c r="A383" s="6">
        <f t="shared" si="54"/>
        <v>371</v>
      </c>
      <c r="B383" s="6">
        <f t="shared" si="53"/>
        <v>371</v>
      </c>
      <c r="C383" s="10" t="s">
        <v>168</v>
      </c>
      <c r="D383" s="11" t="s">
        <v>498</v>
      </c>
      <c r="E383" s="7">
        <v>195013.3</v>
      </c>
      <c r="F383" s="7"/>
      <c r="G383" s="7"/>
      <c r="H383" s="8"/>
      <c r="I383" s="7">
        <f t="shared" si="50"/>
        <v>211182.67</v>
      </c>
      <c r="J383" s="7">
        <f t="shared" si="51"/>
        <v>42236.53</v>
      </c>
      <c r="K383" s="8">
        <f t="shared" si="52"/>
        <v>253419.2</v>
      </c>
    </row>
    <row r="384" spans="1:11" ht="18.75" x14ac:dyDescent="0.25">
      <c r="A384" s="6">
        <f t="shared" si="54"/>
        <v>372</v>
      </c>
      <c r="B384" s="6">
        <f t="shared" si="53"/>
        <v>372</v>
      </c>
      <c r="C384" s="10" t="s">
        <v>169</v>
      </c>
      <c r="D384" s="11" t="s">
        <v>500</v>
      </c>
      <c r="E384" s="7">
        <v>1894.61</v>
      </c>
      <c r="F384" s="7"/>
      <c r="G384" s="7"/>
      <c r="H384" s="8"/>
      <c r="I384" s="7">
        <f t="shared" si="50"/>
        <v>2051.6999999999998</v>
      </c>
      <c r="J384" s="7">
        <f t="shared" si="51"/>
        <v>410.34</v>
      </c>
      <c r="K384" s="8">
        <f t="shared" si="52"/>
        <v>2462.04</v>
      </c>
    </row>
    <row r="385" spans="1:11" ht="18.75" x14ac:dyDescent="0.25">
      <c r="A385" s="6">
        <f t="shared" si="54"/>
        <v>373</v>
      </c>
      <c r="B385" s="6">
        <f t="shared" si="53"/>
        <v>373</v>
      </c>
      <c r="C385" s="10" t="s">
        <v>170</v>
      </c>
      <c r="D385" s="11" t="s">
        <v>500</v>
      </c>
      <c r="E385" s="7">
        <v>469.13</v>
      </c>
      <c r="F385" s="7"/>
      <c r="G385" s="7"/>
      <c r="H385" s="8"/>
      <c r="I385" s="7">
        <f t="shared" si="50"/>
        <v>508.03</v>
      </c>
      <c r="J385" s="7">
        <f t="shared" si="51"/>
        <v>101.61</v>
      </c>
      <c r="K385" s="8">
        <f t="shared" si="52"/>
        <v>609.64</v>
      </c>
    </row>
    <row r="386" spans="1:11" ht="18.75" x14ac:dyDescent="0.25">
      <c r="A386" s="6">
        <f t="shared" si="54"/>
        <v>374</v>
      </c>
      <c r="B386" s="6">
        <f t="shared" si="53"/>
        <v>374</v>
      </c>
      <c r="C386" s="10" t="s">
        <v>171</v>
      </c>
      <c r="D386" s="11" t="s">
        <v>498</v>
      </c>
      <c r="E386" s="7">
        <v>264423.71999999997</v>
      </c>
      <c r="F386" s="7"/>
      <c r="G386" s="7"/>
      <c r="H386" s="8"/>
      <c r="I386" s="7">
        <f t="shared" si="50"/>
        <v>286348.2</v>
      </c>
      <c r="J386" s="7">
        <f t="shared" si="51"/>
        <v>57269.64</v>
      </c>
      <c r="K386" s="8">
        <f t="shared" si="52"/>
        <v>343617.84</v>
      </c>
    </row>
    <row r="387" spans="1:11" ht="18.75" x14ac:dyDescent="0.25">
      <c r="A387" s="6">
        <f t="shared" si="54"/>
        <v>375</v>
      </c>
      <c r="B387" s="6">
        <f t="shared" si="53"/>
        <v>375</v>
      </c>
      <c r="C387" s="10" t="s">
        <v>172</v>
      </c>
      <c r="D387" s="11" t="s">
        <v>498</v>
      </c>
      <c r="E387" s="7">
        <v>6020.03</v>
      </c>
      <c r="F387" s="7"/>
      <c r="G387" s="7"/>
      <c r="H387" s="8"/>
      <c r="I387" s="7">
        <f t="shared" si="50"/>
        <v>6519.18</v>
      </c>
      <c r="J387" s="7">
        <f t="shared" si="51"/>
        <v>1303.8399999999999</v>
      </c>
      <c r="K387" s="8">
        <f t="shared" si="52"/>
        <v>7823.02</v>
      </c>
    </row>
    <row r="388" spans="1:11" ht="18.75" x14ac:dyDescent="0.25">
      <c r="A388" s="6">
        <f t="shared" si="54"/>
        <v>376</v>
      </c>
      <c r="B388" s="6">
        <f t="shared" si="53"/>
        <v>376</v>
      </c>
      <c r="C388" s="10" t="s">
        <v>173</v>
      </c>
      <c r="D388" s="11" t="s">
        <v>498</v>
      </c>
      <c r="E388" s="7">
        <v>3368.17</v>
      </c>
      <c r="F388" s="7"/>
      <c r="G388" s="7"/>
      <c r="H388" s="8"/>
      <c r="I388" s="7">
        <f t="shared" si="50"/>
        <v>3647.44</v>
      </c>
      <c r="J388" s="7">
        <f t="shared" si="51"/>
        <v>729.49</v>
      </c>
      <c r="K388" s="8">
        <f t="shared" si="52"/>
        <v>4376.93</v>
      </c>
    </row>
    <row r="389" spans="1:11" ht="31.5" x14ac:dyDescent="0.25">
      <c r="A389" s="6">
        <f t="shared" si="54"/>
        <v>377</v>
      </c>
      <c r="B389" s="6">
        <f t="shared" si="53"/>
        <v>377</v>
      </c>
      <c r="C389" s="10" t="s">
        <v>174</v>
      </c>
      <c r="D389" s="11" t="s">
        <v>500</v>
      </c>
      <c r="E389" s="7">
        <v>14696.24</v>
      </c>
      <c r="F389" s="7"/>
      <c r="G389" s="7"/>
      <c r="H389" s="8"/>
      <c r="I389" s="7">
        <f t="shared" si="50"/>
        <v>15914.77</v>
      </c>
      <c r="J389" s="7">
        <f t="shared" si="51"/>
        <v>3182.95</v>
      </c>
      <c r="K389" s="8">
        <f t="shared" si="52"/>
        <v>19097.72</v>
      </c>
    </row>
    <row r="390" spans="1:11" ht="18.75" x14ac:dyDescent="0.25">
      <c r="A390" s="6">
        <f t="shared" si="54"/>
        <v>378</v>
      </c>
      <c r="B390" s="6">
        <f t="shared" si="53"/>
        <v>378</v>
      </c>
      <c r="C390" s="10" t="s">
        <v>175</v>
      </c>
      <c r="D390" s="11" t="s">
        <v>503</v>
      </c>
      <c r="E390" s="7">
        <v>159063.17000000001</v>
      </c>
      <c r="F390" s="7"/>
      <c r="G390" s="7"/>
      <c r="H390" s="8"/>
      <c r="I390" s="7">
        <f t="shared" si="50"/>
        <v>172251.77</v>
      </c>
      <c r="J390" s="7">
        <f t="shared" si="51"/>
        <v>34450.35</v>
      </c>
      <c r="K390" s="8">
        <f t="shared" si="52"/>
        <v>206702.12</v>
      </c>
    </row>
    <row r="391" spans="1:11" ht="31.5" x14ac:dyDescent="0.25">
      <c r="A391" s="6">
        <f t="shared" si="54"/>
        <v>379</v>
      </c>
      <c r="B391" s="6">
        <f t="shared" si="53"/>
        <v>379</v>
      </c>
      <c r="C391" s="10" t="s">
        <v>176</v>
      </c>
      <c r="D391" s="11" t="s">
        <v>495</v>
      </c>
      <c r="E391" s="7">
        <v>27320.799999999999</v>
      </c>
      <c r="F391" s="7"/>
      <c r="G391" s="7"/>
      <c r="H391" s="8"/>
      <c r="I391" s="7">
        <f t="shared" si="50"/>
        <v>29586.080000000002</v>
      </c>
      <c r="J391" s="7">
        <f t="shared" si="51"/>
        <v>5917.22</v>
      </c>
      <c r="K391" s="8">
        <f t="shared" si="52"/>
        <v>35503.300000000003</v>
      </c>
    </row>
    <row r="392" spans="1:11" ht="31.5" x14ac:dyDescent="0.25">
      <c r="A392" s="6">
        <f t="shared" si="54"/>
        <v>380</v>
      </c>
      <c r="B392" s="6">
        <f t="shared" si="53"/>
        <v>380</v>
      </c>
      <c r="C392" s="10" t="s">
        <v>177</v>
      </c>
      <c r="D392" s="11" t="s">
        <v>497</v>
      </c>
      <c r="E392" s="7">
        <v>15708.82</v>
      </c>
      <c r="F392" s="7"/>
      <c r="G392" s="7"/>
      <c r="H392" s="8"/>
      <c r="I392" s="7">
        <f t="shared" si="50"/>
        <v>17011.3</v>
      </c>
      <c r="J392" s="7">
        <f t="shared" si="51"/>
        <v>3402.26</v>
      </c>
      <c r="K392" s="8">
        <f t="shared" si="52"/>
        <v>20413.560000000001</v>
      </c>
    </row>
    <row r="393" spans="1:11" ht="31.5" x14ac:dyDescent="0.25">
      <c r="A393" s="6">
        <f t="shared" si="54"/>
        <v>381</v>
      </c>
      <c r="B393" s="6">
        <f t="shared" si="53"/>
        <v>381</v>
      </c>
      <c r="C393" s="12" t="s">
        <v>178</v>
      </c>
      <c r="D393" s="11" t="s">
        <v>497</v>
      </c>
      <c r="E393" s="7">
        <v>15708.82</v>
      </c>
      <c r="F393" s="7"/>
      <c r="G393" s="7"/>
      <c r="H393" s="8"/>
      <c r="I393" s="7">
        <f t="shared" si="50"/>
        <v>17011.3</v>
      </c>
      <c r="J393" s="7">
        <f t="shared" si="51"/>
        <v>3402.26</v>
      </c>
      <c r="K393" s="8">
        <f t="shared" si="52"/>
        <v>20413.560000000001</v>
      </c>
    </row>
    <row r="394" spans="1:11" ht="18.75" x14ac:dyDescent="0.25">
      <c r="A394" s="6">
        <f t="shared" si="54"/>
        <v>382</v>
      </c>
      <c r="B394" s="6">
        <f t="shared" si="53"/>
        <v>382</v>
      </c>
      <c r="C394" s="10" t="s">
        <v>179</v>
      </c>
      <c r="D394" s="11" t="s">
        <v>494</v>
      </c>
      <c r="E394" s="7">
        <v>22.01</v>
      </c>
      <c r="F394" s="7"/>
      <c r="G394" s="7"/>
      <c r="H394" s="8"/>
      <c r="I394" s="7">
        <f t="shared" si="50"/>
        <v>23.83</v>
      </c>
      <c r="J394" s="7">
        <f t="shared" si="51"/>
        <v>4.7699999999999996</v>
      </c>
      <c r="K394" s="8">
        <f t="shared" si="52"/>
        <v>28.6</v>
      </c>
    </row>
    <row r="395" spans="1:11" ht="31.5" x14ac:dyDescent="0.25">
      <c r="A395" s="6">
        <f t="shared" si="54"/>
        <v>383</v>
      </c>
      <c r="B395" s="6">
        <f t="shared" si="53"/>
        <v>383</v>
      </c>
      <c r="C395" s="10" t="s">
        <v>180</v>
      </c>
      <c r="D395" s="11" t="s">
        <v>494</v>
      </c>
      <c r="E395" s="7">
        <v>17.170000000000002</v>
      </c>
      <c r="F395" s="7"/>
      <c r="G395" s="7"/>
      <c r="H395" s="8"/>
      <c r="I395" s="7">
        <f t="shared" si="50"/>
        <v>18.59</v>
      </c>
      <c r="J395" s="7">
        <f t="shared" si="51"/>
        <v>3.72</v>
      </c>
      <c r="K395" s="8">
        <f t="shared" si="52"/>
        <v>22.31</v>
      </c>
    </row>
    <row r="396" spans="1:11" ht="18.75" x14ac:dyDescent="0.25">
      <c r="A396" s="6">
        <f t="shared" ref="A396:A427" si="55">A395+1</f>
        <v>384</v>
      </c>
      <c r="B396" s="6">
        <f t="shared" si="53"/>
        <v>384</v>
      </c>
      <c r="C396" s="10" t="s">
        <v>181</v>
      </c>
      <c r="D396" s="11" t="s">
        <v>494</v>
      </c>
      <c r="E396" s="7">
        <v>25.23</v>
      </c>
      <c r="F396" s="7"/>
      <c r="G396" s="7"/>
      <c r="H396" s="8"/>
      <c r="I396" s="7">
        <f t="shared" ref="I396:I459" si="56">E396*1.0083*1.074</f>
        <v>27.32</v>
      </c>
      <c r="J396" s="7">
        <f t="shared" si="51"/>
        <v>5.46</v>
      </c>
      <c r="K396" s="8">
        <f t="shared" si="52"/>
        <v>32.78</v>
      </c>
    </row>
    <row r="397" spans="1:11" ht="31.5" x14ac:dyDescent="0.25">
      <c r="A397" s="6">
        <f t="shared" si="55"/>
        <v>385</v>
      </c>
      <c r="B397" s="6">
        <f t="shared" si="53"/>
        <v>385</v>
      </c>
      <c r="C397" s="12" t="s">
        <v>182</v>
      </c>
      <c r="D397" s="11" t="s">
        <v>493</v>
      </c>
      <c r="E397" s="7">
        <v>8083.88</v>
      </c>
      <c r="F397" s="7"/>
      <c r="G397" s="7"/>
      <c r="H397" s="8"/>
      <c r="I397" s="7">
        <f t="shared" si="56"/>
        <v>8754.15</v>
      </c>
      <c r="J397" s="7">
        <f t="shared" si="51"/>
        <v>1750.83</v>
      </c>
      <c r="K397" s="8">
        <f t="shared" si="52"/>
        <v>10504.98</v>
      </c>
    </row>
    <row r="398" spans="1:11" ht="31.5" x14ac:dyDescent="0.25">
      <c r="A398" s="6">
        <f t="shared" si="55"/>
        <v>386</v>
      </c>
      <c r="B398" s="6">
        <f t="shared" si="53"/>
        <v>386</v>
      </c>
      <c r="C398" s="12" t="s">
        <v>183</v>
      </c>
      <c r="D398" s="11" t="s">
        <v>503</v>
      </c>
      <c r="E398" s="7">
        <v>106957.75</v>
      </c>
      <c r="F398" s="7"/>
      <c r="G398" s="7"/>
      <c r="H398" s="8"/>
      <c r="I398" s="7">
        <f t="shared" si="56"/>
        <v>115826.07</v>
      </c>
      <c r="J398" s="7">
        <f t="shared" si="51"/>
        <v>23165.21</v>
      </c>
      <c r="K398" s="8">
        <f t="shared" si="52"/>
        <v>138991.28</v>
      </c>
    </row>
    <row r="399" spans="1:11" ht="18.75" x14ac:dyDescent="0.25">
      <c r="A399" s="6">
        <f t="shared" si="55"/>
        <v>387</v>
      </c>
      <c r="B399" s="6">
        <f t="shared" si="53"/>
        <v>387</v>
      </c>
      <c r="C399" s="12" t="s">
        <v>184</v>
      </c>
      <c r="D399" s="11" t="s">
        <v>500</v>
      </c>
      <c r="E399" s="7">
        <v>562.79</v>
      </c>
      <c r="F399" s="7"/>
      <c r="G399" s="7"/>
      <c r="H399" s="8"/>
      <c r="I399" s="7">
        <f t="shared" si="56"/>
        <v>609.45000000000005</v>
      </c>
      <c r="J399" s="7">
        <f t="shared" ref="J399:J447" si="57">I399*0.2</f>
        <v>121.89</v>
      </c>
      <c r="K399" s="8">
        <f t="shared" ref="K399:K447" si="58">I399+J399</f>
        <v>731.34</v>
      </c>
    </row>
    <row r="400" spans="1:11" ht="31.5" x14ac:dyDescent="0.25">
      <c r="A400" s="6">
        <f t="shared" si="55"/>
        <v>388</v>
      </c>
      <c r="B400" s="6">
        <f t="shared" si="53"/>
        <v>388</v>
      </c>
      <c r="C400" s="10" t="s">
        <v>185</v>
      </c>
      <c r="D400" s="11" t="s">
        <v>499</v>
      </c>
      <c r="E400" s="7">
        <v>415.52</v>
      </c>
      <c r="F400" s="7"/>
      <c r="G400" s="7"/>
      <c r="H400" s="8"/>
      <c r="I400" s="7">
        <f t="shared" si="56"/>
        <v>449.97</v>
      </c>
      <c r="J400" s="7">
        <f t="shared" si="57"/>
        <v>89.99</v>
      </c>
      <c r="K400" s="8">
        <f t="shared" si="58"/>
        <v>539.96</v>
      </c>
    </row>
    <row r="401" spans="1:11" ht="31.5" x14ac:dyDescent="0.25">
      <c r="A401" s="6">
        <f t="shared" si="55"/>
        <v>389</v>
      </c>
      <c r="B401" s="6">
        <f t="shared" si="53"/>
        <v>389</v>
      </c>
      <c r="C401" s="10" t="s">
        <v>186</v>
      </c>
      <c r="D401" s="11" t="s">
        <v>499</v>
      </c>
      <c r="E401" s="7">
        <v>430.92</v>
      </c>
      <c r="F401" s="7"/>
      <c r="G401" s="7"/>
      <c r="H401" s="8"/>
      <c r="I401" s="7">
        <f t="shared" si="56"/>
        <v>466.65</v>
      </c>
      <c r="J401" s="7">
        <f t="shared" si="57"/>
        <v>93.33</v>
      </c>
      <c r="K401" s="8">
        <f t="shared" si="58"/>
        <v>559.98</v>
      </c>
    </row>
    <row r="402" spans="1:11" ht="31.5" x14ac:dyDescent="0.25">
      <c r="A402" s="6">
        <f t="shared" si="55"/>
        <v>390</v>
      </c>
      <c r="B402" s="6">
        <f t="shared" si="53"/>
        <v>390</v>
      </c>
      <c r="C402" s="12" t="s">
        <v>187</v>
      </c>
      <c r="D402" s="11" t="s">
        <v>499</v>
      </c>
      <c r="E402" s="7">
        <v>26.48</v>
      </c>
      <c r="F402" s="7"/>
      <c r="G402" s="7"/>
      <c r="H402" s="8"/>
      <c r="I402" s="7">
        <f t="shared" si="56"/>
        <v>28.68</v>
      </c>
      <c r="J402" s="7">
        <f t="shared" si="57"/>
        <v>5.74</v>
      </c>
      <c r="K402" s="8">
        <f t="shared" si="58"/>
        <v>34.42</v>
      </c>
    </row>
    <row r="403" spans="1:11" ht="31.5" x14ac:dyDescent="0.25">
      <c r="A403" s="6">
        <f t="shared" si="55"/>
        <v>391</v>
      </c>
      <c r="B403" s="6">
        <f t="shared" si="53"/>
        <v>391</v>
      </c>
      <c r="C403" s="12" t="s">
        <v>188</v>
      </c>
      <c r="D403" s="11" t="s">
        <v>493</v>
      </c>
      <c r="E403" s="7">
        <v>1347.32</v>
      </c>
      <c r="F403" s="7"/>
      <c r="G403" s="7"/>
      <c r="H403" s="8"/>
      <c r="I403" s="7">
        <f t="shared" si="56"/>
        <v>1459.03</v>
      </c>
      <c r="J403" s="7">
        <f t="shared" si="57"/>
        <v>291.81</v>
      </c>
      <c r="K403" s="8">
        <f t="shared" si="58"/>
        <v>1750.84</v>
      </c>
    </row>
    <row r="404" spans="1:11" ht="31.5" x14ac:dyDescent="0.25">
      <c r="A404" s="6">
        <f t="shared" si="55"/>
        <v>392</v>
      </c>
      <c r="B404" s="6">
        <f t="shared" si="53"/>
        <v>392</v>
      </c>
      <c r="C404" s="12" t="s">
        <v>189</v>
      </c>
      <c r="D404" s="11" t="s">
        <v>493</v>
      </c>
      <c r="E404" s="7">
        <v>13797.78</v>
      </c>
      <c r="F404" s="7"/>
      <c r="G404" s="7"/>
      <c r="H404" s="8"/>
      <c r="I404" s="7">
        <f t="shared" si="56"/>
        <v>14941.81</v>
      </c>
      <c r="J404" s="7">
        <f t="shared" si="57"/>
        <v>2988.36</v>
      </c>
      <c r="K404" s="8">
        <f t="shared" si="58"/>
        <v>17930.169999999998</v>
      </c>
    </row>
    <row r="405" spans="1:11" ht="31.5" x14ac:dyDescent="0.25">
      <c r="A405" s="6">
        <f t="shared" si="55"/>
        <v>393</v>
      </c>
      <c r="B405" s="6">
        <f t="shared" si="53"/>
        <v>393</v>
      </c>
      <c r="C405" s="12" t="s">
        <v>190</v>
      </c>
      <c r="D405" s="11" t="s">
        <v>493</v>
      </c>
      <c r="E405" s="7">
        <v>7233.56</v>
      </c>
      <c r="F405" s="7"/>
      <c r="G405" s="7"/>
      <c r="H405" s="8"/>
      <c r="I405" s="7">
        <f t="shared" si="56"/>
        <v>7833.32</v>
      </c>
      <c r="J405" s="7">
        <f t="shared" si="57"/>
        <v>1566.66</v>
      </c>
      <c r="K405" s="8">
        <f t="shared" si="58"/>
        <v>9399.98</v>
      </c>
    </row>
    <row r="406" spans="1:11" ht="31.5" x14ac:dyDescent="0.25">
      <c r="A406" s="6">
        <f t="shared" si="55"/>
        <v>394</v>
      </c>
      <c r="B406" s="6">
        <f t="shared" si="53"/>
        <v>394</v>
      </c>
      <c r="C406" s="12" t="s">
        <v>191</v>
      </c>
      <c r="D406" s="11" t="s">
        <v>499</v>
      </c>
      <c r="E406" s="7">
        <v>324.91000000000003</v>
      </c>
      <c r="F406" s="7"/>
      <c r="G406" s="7"/>
      <c r="H406" s="8"/>
      <c r="I406" s="7">
        <f t="shared" si="56"/>
        <v>351.85</v>
      </c>
      <c r="J406" s="7">
        <f t="shared" si="57"/>
        <v>70.37</v>
      </c>
      <c r="K406" s="8">
        <f t="shared" si="58"/>
        <v>422.22</v>
      </c>
    </row>
    <row r="407" spans="1:11" ht="18.75" x14ac:dyDescent="0.25">
      <c r="A407" s="6">
        <f t="shared" si="55"/>
        <v>395</v>
      </c>
      <c r="B407" s="6">
        <f t="shared" si="53"/>
        <v>395</v>
      </c>
      <c r="C407" s="12" t="s">
        <v>192</v>
      </c>
      <c r="D407" s="11" t="s">
        <v>509</v>
      </c>
      <c r="E407" s="7">
        <v>324.91000000000003</v>
      </c>
      <c r="F407" s="7"/>
      <c r="G407" s="7"/>
      <c r="H407" s="8"/>
      <c r="I407" s="7">
        <f t="shared" si="56"/>
        <v>351.85</v>
      </c>
      <c r="J407" s="7">
        <f t="shared" si="57"/>
        <v>70.37</v>
      </c>
      <c r="K407" s="8">
        <f t="shared" si="58"/>
        <v>422.22</v>
      </c>
    </row>
    <row r="408" spans="1:11" ht="31.5" x14ac:dyDescent="0.25">
      <c r="A408" s="6">
        <f t="shared" si="55"/>
        <v>396</v>
      </c>
      <c r="B408" s="6">
        <f t="shared" si="53"/>
        <v>396</v>
      </c>
      <c r="C408" s="12" t="s">
        <v>193</v>
      </c>
      <c r="D408" s="11" t="s">
        <v>500</v>
      </c>
      <c r="E408" s="7">
        <v>464.51</v>
      </c>
      <c r="F408" s="7"/>
      <c r="G408" s="7"/>
      <c r="H408" s="8"/>
      <c r="I408" s="7">
        <f t="shared" si="56"/>
        <v>503.02</v>
      </c>
      <c r="J408" s="7">
        <f t="shared" si="57"/>
        <v>100.6</v>
      </c>
      <c r="K408" s="8">
        <f t="shared" si="58"/>
        <v>603.62</v>
      </c>
    </row>
    <row r="409" spans="1:11" ht="18.75" x14ac:dyDescent="0.25">
      <c r="A409" s="6">
        <f t="shared" si="55"/>
        <v>397</v>
      </c>
      <c r="B409" s="6">
        <f t="shared" si="53"/>
        <v>397</v>
      </c>
      <c r="C409" s="12" t="s">
        <v>194</v>
      </c>
      <c r="D409" s="11" t="s">
        <v>494</v>
      </c>
      <c r="E409" s="7">
        <v>14.55</v>
      </c>
      <c r="F409" s="7"/>
      <c r="G409" s="7"/>
      <c r="H409" s="8"/>
      <c r="I409" s="7">
        <f t="shared" si="56"/>
        <v>15.76</v>
      </c>
      <c r="J409" s="7">
        <f t="shared" si="57"/>
        <v>3.15</v>
      </c>
      <c r="K409" s="8">
        <f t="shared" si="58"/>
        <v>18.91</v>
      </c>
    </row>
    <row r="410" spans="1:11" ht="18.75" x14ac:dyDescent="0.25">
      <c r="A410" s="6">
        <f t="shared" si="55"/>
        <v>398</v>
      </c>
      <c r="B410" s="6">
        <f t="shared" si="53"/>
        <v>398</v>
      </c>
      <c r="C410" s="12" t="s">
        <v>195</v>
      </c>
      <c r="D410" s="11" t="s">
        <v>494</v>
      </c>
      <c r="E410" s="7">
        <v>21.65</v>
      </c>
      <c r="F410" s="7"/>
      <c r="G410" s="7"/>
      <c r="H410" s="8"/>
      <c r="I410" s="7">
        <f t="shared" si="56"/>
        <v>23.45</v>
      </c>
      <c r="J410" s="7">
        <f t="shared" si="57"/>
        <v>4.6900000000000004</v>
      </c>
      <c r="K410" s="8">
        <f t="shared" si="58"/>
        <v>28.14</v>
      </c>
    </row>
    <row r="411" spans="1:11" ht="31.5" x14ac:dyDescent="0.25">
      <c r="A411" s="6">
        <f t="shared" si="55"/>
        <v>399</v>
      </c>
      <c r="B411" s="6">
        <f t="shared" si="53"/>
        <v>399</v>
      </c>
      <c r="C411" s="12" t="s">
        <v>196</v>
      </c>
      <c r="D411" s="11" t="s">
        <v>494</v>
      </c>
      <c r="E411" s="7">
        <v>151.09</v>
      </c>
      <c r="F411" s="7"/>
      <c r="G411" s="7"/>
      <c r="H411" s="8"/>
      <c r="I411" s="7">
        <f t="shared" si="56"/>
        <v>163.62</v>
      </c>
      <c r="J411" s="7">
        <f t="shared" si="57"/>
        <v>32.72</v>
      </c>
      <c r="K411" s="8">
        <f t="shared" si="58"/>
        <v>196.34</v>
      </c>
    </row>
    <row r="412" spans="1:11" ht="18.75" x14ac:dyDescent="0.25">
      <c r="A412" s="6">
        <f t="shared" si="55"/>
        <v>400</v>
      </c>
      <c r="B412" s="6">
        <f t="shared" si="53"/>
        <v>400</v>
      </c>
      <c r="C412" s="12" t="s">
        <v>197</v>
      </c>
      <c r="D412" s="11" t="s">
        <v>500</v>
      </c>
      <c r="E412" s="7">
        <v>133.91999999999999</v>
      </c>
      <c r="F412" s="7"/>
      <c r="G412" s="7"/>
      <c r="H412" s="8"/>
      <c r="I412" s="7">
        <f t="shared" si="56"/>
        <v>145.02000000000001</v>
      </c>
      <c r="J412" s="7">
        <f t="shared" si="57"/>
        <v>29</v>
      </c>
      <c r="K412" s="8">
        <f t="shared" si="58"/>
        <v>174.02</v>
      </c>
    </row>
    <row r="413" spans="1:11" ht="18.75" x14ac:dyDescent="0.25">
      <c r="A413" s="6">
        <f t="shared" si="55"/>
        <v>401</v>
      </c>
      <c r="B413" s="6">
        <f t="shared" si="53"/>
        <v>401</v>
      </c>
      <c r="C413" s="12" t="s">
        <v>198</v>
      </c>
      <c r="D413" s="11" t="s">
        <v>500</v>
      </c>
      <c r="E413" s="7">
        <v>435.99</v>
      </c>
      <c r="F413" s="7"/>
      <c r="G413" s="7"/>
      <c r="H413" s="8"/>
      <c r="I413" s="7">
        <f t="shared" si="56"/>
        <v>472.14</v>
      </c>
      <c r="J413" s="7">
        <f t="shared" si="57"/>
        <v>94.43</v>
      </c>
      <c r="K413" s="8">
        <f t="shared" si="58"/>
        <v>566.57000000000005</v>
      </c>
    </row>
    <row r="414" spans="1:11" ht="18.75" x14ac:dyDescent="0.25">
      <c r="A414" s="6">
        <f t="shared" si="55"/>
        <v>402</v>
      </c>
      <c r="B414" s="6">
        <f t="shared" si="53"/>
        <v>402</v>
      </c>
      <c r="C414" s="12" t="s">
        <v>199</v>
      </c>
      <c r="D414" s="11" t="s">
        <v>500</v>
      </c>
      <c r="E414" s="7">
        <v>133.91999999999999</v>
      </c>
      <c r="F414" s="7"/>
      <c r="G414" s="7"/>
      <c r="H414" s="8"/>
      <c r="I414" s="7">
        <f t="shared" si="56"/>
        <v>145.02000000000001</v>
      </c>
      <c r="J414" s="7">
        <f t="shared" si="57"/>
        <v>29</v>
      </c>
      <c r="K414" s="8">
        <f t="shared" si="58"/>
        <v>174.02</v>
      </c>
    </row>
    <row r="415" spans="1:11" ht="18.75" x14ac:dyDescent="0.25">
      <c r="A415" s="6">
        <f t="shared" si="55"/>
        <v>403</v>
      </c>
      <c r="B415" s="6">
        <f t="shared" ref="B415:B478" si="59">B414+1</f>
        <v>403</v>
      </c>
      <c r="C415" s="12" t="s">
        <v>200</v>
      </c>
      <c r="D415" s="11" t="s">
        <v>500</v>
      </c>
      <c r="E415" s="7">
        <v>1174.04</v>
      </c>
      <c r="F415" s="7"/>
      <c r="G415" s="7"/>
      <c r="H415" s="8"/>
      <c r="I415" s="7">
        <f t="shared" si="56"/>
        <v>1271.3800000000001</v>
      </c>
      <c r="J415" s="7">
        <f t="shared" si="57"/>
        <v>254.28</v>
      </c>
      <c r="K415" s="8">
        <f t="shared" si="58"/>
        <v>1525.66</v>
      </c>
    </row>
    <row r="416" spans="1:11" ht="18.75" x14ac:dyDescent="0.25">
      <c r="A416" s="6">
        <f t="shared" si="55"/>
        <v>404</v>
      </c>
      <c r="B416" s="6">
        <f t="shared" si="59"/>
        <v>404</v>
      </c>
      <c r="C416" s="12" t="s">
        <v>201</v>
      </c>
      <c r="D416" s="11" t="s">
        <v>494</v>
      </c>
      <c r="E416" s="7">
        <v>0.57999999999999996</v>
      </c>
      <c r="F416" s="7"/>
      <c r="G416" s="7"/>
      <c r="H416" s="8"/>
      <c r="I416" s="7">
        <f t="shared" si="56"/>
        <v>0.63</v>
      </c>
      <c r="J416" s="7">
        <f t="shared" si="57"/>
        <v>0.13</v>
      </c>
      <c r="K416" s="8">
        <f t="shared" si="58"/>
        <v>0.76</v>
      </c>
    </row>
    <row r="417" spans="1:11" ht="18.75" x14ac:dyDescent="0.25">
      <c r="A417" s="6">
        <f t="shared" si="55"/>
        <v>405</v>
      </c>
      <c r="B417" s="6">
        <f t="shared" si="59"/>
        <v>405</v>
      </c>
      <c r="C417" s="12" t="s">
        <v>202</v>
      </c>
      <c r="D417" s="11" t="s">
        <v>494</v>
      </c>
      <c r="E417" s="7">
        <v>9.15</v>
      </c>
      <c r="F417" s="7"/>
      <c r="G417" s="7"/>
      <c r="H417" s="8"/>
      <c r="I417" s="7">
        <f t="shared" si="56"/>
        <v>9.91</v>
      </c>
      <c r="J417" s="7">
        <f t="shared" si="57"/>
        <v>1.98</v>
      </c>
      <c r="K417" s="8">
        <f t="shared" si="58"/>
        <v>11.89</v>
      </c>
    </row>
    <row r="418" spans="1:11" ht="18.75" x14ac:dyDescent="0.25">
      <c r="A418" s="6">
        <f t="shared" si="55"/>
        <v>406</v>
      </c>
      <c r="B418" s="6">
        <f t="shared" si="59"/>
        <v>406</v>
      </c>
      <c r="C418" s="12" t="s">
        <v>203</v>
      </c>
      <c r="D418" s="11" t="s">
        <v>494</v>
      </c>
      <c r="E418" s="7">
        <v>4.72</v>
      </c>
      <c r="F418" s="7"/>
      <c r="G418" s="7"/>
      <c r="H418" s="8"/>
      <c r="I418" s="7">
        <f t="shared" si="56"/>
        <v>5.1100000000000003</v>
      </c>
      <c r="J418" s="7">
        <f t="shared" si="57"/>
        <v>1.02</v>
      </c>
      <c r="K418" s="8">
        <f t="shared" si="58"/>
        <v>6.13</v>
      </c>
    </row>
    <row r="419" spans="1:11" ht="18.75" x14ac:dyDescent="0.25">
      <c r="A419" s="6">
        <f t="shared" si="55"/>
        <v>407</v>
      </c>
      <c r="B419" s="6">
        <f t="shared" si="59"/>
        <v>407</v>
      </c>
      <c r="C419" s="12" t="s">
        <v>204</v>
      </c>
      <c r="D419" s="11" t="s">
        <v>494</v>
      </c>
      <c r="E419" s="7">
        <v>18.309999999999999</v>
      </c>
      <c r="F419" s="7"/>
      <c r="G419" s="7"/>
      <c r="H419" s="8"/>
      <c r="I419" s="7">
        <f t="shared" si="56"/>
        <v>19.829999999999998</v>
      </c>
      <c r="J419" s="7">
        <f t="shared" si="57"/>
        <v>3.97</v>
      </c>
      <c r="K419" s="8">
        <f t="shared" si="58"/>
        <v>23.8</v>
      </c>
    </row>
    <row r="420" spans="1:11" ht="31.5" x14ac:dyDescent="0.25">
      <c r="A420" s="6">
        <f t="shared" si="55"/>
        <v>408</v>
      </c>
      <c r="B420" s="6">
        <f t="shared" si="59"/>
        <v>408</v>
      </c>
      <c r="C420" s="12" t="s">
        <v>205</v>
      </c>
      <c r="D420" s="11" t="s">
        <v>494</v>
      </c>
      <c r="E420" s="7">
        <v>570.65</v>
      </c>
      <c r="F420" s="7"/>
      <c r="G420" s="7"/>
      <c r="H420" s="8"/>
      <c r="I420" s="7">
        <f t="shared" si="56"/>
        <v>617.96</v>
      </c>
      <c r="J420" s="7">
        <f t="shared" si="57"/>
        <v>123.59</v>
      </c>
      <c r="K420" s="8">
        <f t="shared" si="58"/>
        <v>741.55</v>
      </c>
    </row>
    <row r="421" spans="1:11" ht="18.75" x14ac:dyDescent="0.25">
      <c r="A421" s="6">
        <f t="shared" si="55"/>
        <v>409</v>
      </c>
      <c r="B421" s="6">
        <f t="shared" si="59"/>
        <v>409</v>
      </c>
      <c r="C421" s="12" t="s">
        <v>206</v>
      </c>
      <c r="D421" s="11" t="s">
        <v>494</v>
      </c>
      <c r="E421" s="7">
        <v>275.8</v>
      </c>
      <c r="F421" s="7"/>
      <c r="G421" s="7"/>
      <c r="H421" s="8"/>
      <c r="I421" s="7">
        <f t="shared" si="56"/>
        <v>298.67</v>
      </c>
      <c r="J421" s="7">
        <f t="shared" si="57"/>
        <v>59.73</v>
      </c>
      <c r="K421" s="8">
        <f t="shared" si="58"/>
        <v>358.4</v>
      </c>
    </row>
    <row r="422" spans="1:11" ht="31.5" x14ac:dyDescent="0.25">
      <c r="A422" s="6">
        <f t="shared" si="55"/>
        <v>410</v>
      </c>
      <c r="B422" s="6">
        <f t="shared" si="59"/>
        <v>410</v>
      </c>
      <c r="C422" s="12" t="s">
        <v>207</v>
      </c>
      <c r="D422" s="11" t="s">
        <v>499</v>
      </c>
      <c r="E422" s="7">
        <v>3673.74</v>
      </c>
      <c r="F422" s="7"/>
      <c r="G422" s="7"/>
      <c r="H422" s="8"/>
      <c r="I422" s="7">
        <f t="shared" si="56"/>
        <v>3978.35</v>
      </c>
      <c r="J422" s="7">
        <f t="shared" si="57"/>
        <v>795.67</v>
      </c>
      <c r="K422" s="8">
        <f t="shared" si="58"/>
        <v>4774.0200000000004</v>
      </c>
    </row>
    <row r="423" spans="1:11" ht="47.25" x14ac:dyDescent="0.25">
      <c r="A423" s="6">
        <f t="shared" si="55"/>
        <v>411</v>
      </c>
      <c r="B423" s="6">
        <f t="shared" si="59"/>
        <v>411</v>
      </c>
      <c r="C423" s="12" t="s">
        <v>208</v>
      </c>
      <c r="D423" s="11" t="s">
        <v>499</v>
      </c>
      <c r="E423" s="7">
        <v>14.63</v>
      </c>
      <c r="F423" s="7"/>
      <c r="G423" s="7"/>
      <c r="H423" s="8"/>
      <c r="I423" s="7">
        <f t="shared" si="56"/>
        <v>15.84</v>
      </c>
      <c r="J423" s="7">
        <f t="shared" si="57"/>
        <v>3.17</v>
      </c>
      <c r="K423" s="8">
        <f t="shared" si="58"/>
        <v>19.010000000000002</v>
      </c>
    </row>
    <row r="424" spans="1:11" ht="47.25" x14ac:dyDescent="0.25">
      <c r="A424" s="6">
        <f t="shared" si="55"/>
        <v>412</v>
      </c>
      <c r="B424" s="6">
        <f t="shared" si="59"/>
        <v>412</v>
      </c>
      <c r="C424" s="12" t="s">
        <v>209</v>
      </c>
      <c r="D424" s="11" t="s">
        <v>499</v>
      </c>
      <c r="E424" s="7">
        <v>1158.73</v>
      </c>
      <c r="F424" s="7"/>
      <c r="G424" s="7"/>
      <c r="H424" s="8"/>
      <c r="I424" s="7">
        <f t="shared" si="56"/>
        <v>1254.81</v>
      </c>
      <c r="J424" s="7">
        <f t="shared" si="57"/>
        <v>250.96</v>
      </c>
      <c r="K424" s="8">
        <f t="shared" si="58"/>
        <v>1505.77</v>
      </c>
    </row>
    <row r="425" spans="1:11" ht="31.5" x14ac:dyDescent="0.25">
      <c r="A425" s="6">
        <f t="shared" si="55"/>
        <v>413</v>
      </c>
      <c r="B425" s="6">
        <f t="shared" si="59"/>
        <v>413</v>
      </c>
      <c r="C425" s="12" t="s">
        <v>210</v>
      </c>
      <c r="D425" s="11" t="s">
        <v>499</v>
      </c>
      <c r="E425" s="7">
        <v>96.26</v>
      </c>
      <c r="F425" s="7"/>
      <c r="G425" s="7"/>
      <c r="H425" s="8"/>
      <c r="I425" s="7">
        <f t="shared" si="56"/>
        <v>104.24</v>
      </c>
      <c r="J425" s="7">
        <f t="shared" si="57"/>
        <v>20.85</v>
      </c>
      <c r="K425" s="8">
        <f t="shared" si="58"/>
        <v>125.09</v>
      </c>
    </row>
    <row r="426" spans="1:11" ht="18.75" x14ac:dyDescent="0.25">
      <c r="A426" s="6">
        <f t="shared" si="55"/>
        <v>414</v>
      </c>
      <c r="B426" s="6">
        <f t="shared" si="59"/>
        <v>414</v>
      </c>
      <c r="C426" s="12" t="s">
        <v>211</v>
      </c>
      <c r="D426" s="11" t="s">
        <v>499</v>
      </c>
      <c r="E426" s="7">
        <v>241.79</v>
      </c>
      <c r="F426" s="7"/>
      <c r="G426" s="7"/>
      <c r="H426" s="8"/>
      <c r="I426" s="7">
        <f t="shared" si="56"/>
        <v>261.83999999999997</v>
      </c>
      <c r="J426" s="7">
        <f t="shared" si="57"/>
        <v>52.37</v>
      </c>
      <c r="K426" s="8">
        <f t="shared" si="58"/>
        <v>314.20999999999998</v>
      </c>
    </row>
    <row r="427" spans="1:11" ht="18.75" x14ac:dyDescent="0.25">
      <c r="A427" s="6">
        <f t="shared" si="55"/>
        <v>415</v>
      </c>
      <c r="B427" s="6">
        <f t="shared" si="59"/>
        <v>415</v>
      </c>
      <c r="C427" s="12" t="s">
        <v>212</v>
      </c>
      <c r="D427" s="11" t="s">
        <v>499</v>
      </c>
      <c r="E427" s="7">
        <v>73.150000000000006</v>
      </c>
      <c r="F427" s="7"/>
      <c r="G427" s="7"/>
      <c r="H427" s="8"/>
      <c r="I427" s="7">
        <f t="shared" si="56"/>
        <v>79.22</v>
      </c>
      <c r="J427" s="7">
        <f t="shared" si="57"/>
        <v>15.84</v>
      </c>
      <c r="K427" s="8">
        <f t="shared" si="58"/>
        <v>95.06</v>
      </c>
    </row>
    <row r="428" spans="1:11" ht="31.5" x14ac:dyDescent="0.25">
      <c r="A428" s="6">
        <f t="shared" ref="A428:A446" si="60">A427+1</f>
        <v>416</v>
      </c>
      <c r="B428" s="6">
        <f t="shared" si="59"/>
        <v>416</v>
      </c>
      <c r="C428" s="12" t="s">
        <v>213</v>
      </c>
      <c r="D428" s="11" t="s">
        <v>499</v>
      </c>
      <c r="E428" s="7">
        <v>139.99</v>
      </c>
      <c r="F428" s="7"/>
      <c r="G428" s="7"/>
      <c r="H428" s="8"/>
      <c r="I428" s="7">
        <f t="shared" si="56"/>
        <v>151.6</v>
      </c>
      <c r="J428" s="7">
        <f t="shared" si="57"/>
        <v>30.32</v>
      </c>
      <c r="K428" s="8">
        <f t="shared" si="58"/>
        <v>181.92</v>
      </c>
    </row>
    <row r="429" spans="1:11" ht="18.75" x14ac:dyDescent="0.25">
      <c r="A429" s="6">
        <f t="shared" si="60"/>
        <v>417</v>
      </c>
      <c r="B429" s="6">
        <f t="shared" si="59"/>
        <v>417</v>
      </c>
      <c r="C429" s="12" t="s">
        <v>214</v>
      </c>
      <c r="D429" s="11" t="s">
        <v>499</v>
      </c>
      <c r="E429" s="7">
        <v>1978.7</v>
      </c>
      <c r="F429" s="7"/>
      <c r="G429" s="7"/>
      <c r="H429" s="8"/>
      <c r="I429" s="7">
        <f t="shared" si="56"/>
        <v>2142.7600000000002</v>
      </c>
      <c r="J429" s="7">
        <f t="shared" si="57"/>
        <v>428.55</v>
      </c>
      <c r="K429" s="8">
        <f t="shared" si="58"/>
        <v>2571.31</v>
      </c>
    </row>
    <row r="430" spans="1:11" ht="18.75" x14ac:dyDescent="0.25">
      <c r="A430" s="6">
        <f t="shared" si="60"/>
        <v>418</v>
      </c>
      <c r="B430" s="6">
        <f t="shared" si="59"/>
        <v>418</v>
      </c>
      <c r="C430" s="12" t="s">
        <v>215</v>
      </c>
      <c r="D430" s="11" t="s">
        <v>499</v>
      </c>
      <c r="E430" s="7">
        <v>693.46</v>
      </c>
      <c r="F430" s="7"/>
      <c r="G430" s="7"/>
      <c r="H430" s="8"/>
      <c r="I430" s="7">
        <f t="shared" si="56"/>
        <v>750.96</v>
      </c>
      <c r="J430" s="7">
        <f t="shared" si="57"/>
        <v>150.19</v>
      </c>
      <c r="K430" s="8">
        <f t="shared" si="58"/>
        <v>901.15</v>
      </c>
    </row>
    <row r="431" spans="1:11" ht="18.75" x14ac:dyDescent="0.25">
      <c r="A431" s="6">
        <f t="shared" si="60"/>
        <v>419</v>
      </c>
      <c r="B431" s="6">
        <f t="shared" si="59"/>
        <v>419</v>
      </c>
      <c r="C431" s="12" t="s">
        <v>216</v>
      </c>
      <c r="D431" s="11" t="s">
        <v>494</v>
      </c>
      <c r="E431" s="7">
        <v>53.47</v>
      </c>
      <c r="F431" s="7"/>
      <c r="G431" s="7"/>
      <c r="H431" s="8"/>
      <c r="I431" s="7">
        <f t="shared" si="56"/>
        <v>57.9</v>
      </c>
      <c r="J431" s="7">
        <f t="shared" si="57"/>
        <v>11.58</v>
      </c>
      <c r="K431" s="8">
        <f t="shared" si="58"/>
        <v>69.48</v>
      </c>
    </row>
    <row r="432" spans="1:11" ht="18.75" x14ac:dyDescent="0.25">
      <c r="A432" s="6">
        <f t="shared" si="60"/>
        <v>420</v>
      </c>
      <c r="B432" s="6">
        <f t="shared" si="59"/>
        <v>420</v>
      </c>
      <c r="C432" s="12" t="s">
        <v>217</v>
      </c>
      <c r="D432" s="11" t="s">
        <v>496</v>
      </c>
      <c r="E432" s="7">
        <v>115.76</v>
      </c>
      <c r="F432" s="7"/>
      <c r="G432" s="7"/>
      <c r="H432" s="8"/>
      <c r="I432" s="7">
        <f t="shared" si="56"/>
        <v>125.36</v>
      </c>
      <c r="J432" s="7">
        <f t="shared" si="57"/>
        <v>25.07</v>
      </c>
      <c r="K432" s="8">
        <f t="shared" si="58"/>
        <v>150.43</v>
      </c>
    </row>
    <row r="433" spans="1:11" ht="18.75" x14ac:dyDescent="0.25">
      <c r="A433" s="6">
        <f t="shared" si="60"/>
        <v>421</v>
      </c>
      <c r="B433" s="6">
        <f t="shared" si="59"/>
        <v>421</v>
      </c>
      <c r="C433" s="12" t="s">
        <v>218</v>
      </c>
      <c r="D433" s="11" t="s">
        <v>496</v>
      </c>
      <c r="E433" s="7">
        <v>245.84</v>
      </c>
      <c r="F433" s="7"/>
      <c r="G433" s="7"/>
      <c r="H433" s="8"/>
      <c r="I433" s="7">
        <f t="shared" si="56"/>
        <v>266.22000000000003</v>
      </c>
      <c r="J433" s="7">
        <f t="shared" si="57"/>
        <v>53.24</v>
      </c>
      <c r="K433" s="8">
        <f t="shared" si="58"/>
        <v>319.45999999999998</v>
      </c>
    </row>
    <row r="434" spans="1:11" ht="31.5" x14ac:dyDescent="0.25">
      <c r="A434" s="6">
        <f t="shared" si="60"/>
        <v>422</v>
      </c>
      <c r="B434" s="6">
        <f t="shared" si="59"/>
        <v>422</v>
      </c>
      <c r="C434" s="12" t="s">
        <v>219</v>
      </c>
      <c r="D434" s="11" t="s">
        <v>502</v>
      </c>
      <c r="E434" s="7">
        <v>423.52</v>
      </c>
      <c r="F434" s="7"/>
      <c r="G434" s="7"/>
      <c r="H434" s="8"/>
      <c r="I434" s="7">
        <f t="shared" si="56"/>
        <v>458.64</v>
      </c>
      <c r="J434" s="7">
        <f t="shared" si="57"/>
        <v>91.73</v>
      </c>
      <c r="K434" s="8">
        <f t="shared" si="58"/>
        <v>550.37</v>
      </c>
    </row>
    <row r="435" spans="1:11" ht="18.75" x14ac:dyDescent="0.25">
      <c r="A435" s="6">
        <f t="shared" si="60"/>
        <v>423</v>
      </c>
      <c r="B435" s="6">
        <f t="shared" si="59"/>
        <v>423</v>
      </c>
      <c r="C435" s="12" t="s">
        <v>220</v>
      </c>
      <c r="D435" s="11" t="s">
        <v>504</v>
      </c>
      <c r="E435" s="7">
        <v>4081.29</v>
      </c>
      <c r="F435" s="7"/>
      <c r="G435" s="7"/>
      <c r="H435" s="8"/>
      <c r="I435" s="7">
        <f t="shared" si="56"/>
        <v>4419.6899999999996</v>
      </c>
      <c r="J435" s="7">
        <f t="shared" si="57"/>
        <v>883.94</v>
      </c>
      <c r="K435" s="8">
        <f t="shared" si="58"/>
        <v>5303.63</v>
      </c>
    </row>
    <row r="436" spans="1:11" ht="18.75" x14ac:dyDescent="0.25">
      <c r="A436" s="6">
        <f t="shared" si="60"/>
        <v>424</v>
      </c>
      <c r="B436" s="6">
        <f t="shared" si="59"/>
        <v>424</v>
      </c>
      <c r="C436" s="12" t="s">
        <v>221</v>
      </c>
      <c r="D436" s="11" t="s">
        <v>504</v>
      </c>
      <c r="E436" s="7">
        <v>4951.91</v>
      </c>
      <c r="F436" s="7"/>
      <c r="G436" s="7"/>
      <c r="H436" s="8"/>
      <c r="I436" s="7">
        <f t="shared" si="56"/>
        <v>5362.49</v>
      </c>
      <c r="J436" s="7">
        <f t="shared" si="57"/>
        <v>1072.5</v>
      </c>
      <c r="K436" s="8">
        <f t="shared" si="58"/>
        <v>6434.99</v>
      </c>
    </row>
    <row r="437" spans="1:11" ht="18.75" x14ac:dyDescent="0.25">
      <c r="A437" s="6">
        <f t="shared" si="60"/>
        <v>425</v>
      </c>
      <c r="B437" s="6">
        <f t="shared" si="59"/>
        <v>425</v>
      </c>
      <c r="C437" s="12" t="s">
        <v>222</v>
      </c>
      <c r="D437" s="11" t="s">
        <v>504</v>
      </c>
      <c r="E437" s="7">
        <v>5852.17</v>
      </c>
      <c r="F437" s="7"/>
      <c r="G437" s="7"/>
      <c r="H437" s="8"/>
      <c r="I437" s="7">
        <f t="shared" si="56"/>
        <v>6337.4</v>
      </c>
      <c r="J437" s="7">
        <f t="shared" si="57"/>
        <v>1267.48</v>
      </c>
      <c r="K437" s="8">
        <f t="shared" si="58"/>
        <v>7604.88</v>
      </c>
    </row>
    <row r="438" spans="1:11" ht="31.5" x14ac:dyDescent="0.25">
      <c r="A438" s="6">
        <f t="shared" si="60"/>
        <v>426</v>
      </c>
      <c r="B438" s="6">
        <f t="shared" si="59"/>
        <v>426</v>
      </c>
      <c r="C438" s="12" t="s">
        <v>223</v>
      </c>
      <c r="D438" s="11" t="s">
        <v>502</v>
      </c>
      <c r="E438" s="7">
        <v>115.85</v>
      </c>
      <c r="F438" s="7"/>
      <c r="G438" s="7"/>
      <c r="H438" s="8"/>
      <c r="I438" s="7">
        <f t="shared" si="56"/>
        <v>125.46</v>
      </c>
      <c r="J438" s="7">
        <f t="shared" si="57"/>
        <v>25.09</v>
      </c>
      <c r="K438" s="8">
        <f t="shared" si="58"/>
        <v>150.55000000000001</v>
      </c>
    </row>
    <row r="439" spans="1:11" ht="18.75" x14ac:dyDescent="0.25">
      <c r="A439" s="6">
        <f t="shared" si="60"/>
        <v>427</v>
      </c>
      <c r="B439" s="6">
        <f t="shared" si="59"/>
        <v>427</v>
      </c>
      <c r="C439" s="12" t="s">
        <v>224</v>
      </c>
      <c r="D439" s="11" t="s">
        <v>502</v>
      </c>
      <c r="E439" s="7">
        <v>175.42</v>
      </c>
      <c r="F439" s="7"/>
      <c r="G439" s="7"/>
      <c r="H439" s="8"/>
      <c r="I439" s="7">
        <f t="shared" si="56"/>
        <v>189.96</v>
      </c>
      <c r="J439" s="7">
        <f t="shared" si="57"/>
        <v>37.99</v>
      </c>
      <c r="K439" s="8">
        <f t="shared" si="58"/>
        <v>227.95</v>
      </c>
    </row>
    <row r="440" spans="1:11" ht="18.75" x14ac:dyDescent="0.25">
      <c r="A440" s="6">
        <f t="shared" si="60"/>
        <v>428</v>
      </c>
      <c r="B440" s="6">
        <f t="shared" si="59"/>
        <v>428</v>
      </c>
      <c r="C440" s="12" t="s">
        <v>225</v>
      </c>
      <c r="D440" s="11" t="s">
        <v>502</v>
      </c>
      <c r="E440" s="7">
        <v>235.01</v>
      </c>
      <c r="F440" s="7"/>
      <c r="G440" s="7"/>
      <c r="H440" s="8"/>
      <c r="I440" s="7">
        <f t="shared" si="56"/>
        <v>254.5</v>
      </c>
      <c r="J440" s="7">
        <f t="shared" si="57"/>
        <v>50.9</v>
      </c>
      <c r="K440" s="8">
        <f t="shared" si="58"/>
        <v>305.39999999999998</v>
      </c>
    </row>
    <row r="441" spans="1:11" ht="18.75" x14ac:dyDescent="0.25">
      <c r="A441" s="6">
        <f t="shared" si="60"/>
        <v>429</v>
      </c>
      <c r="B441" s="6">
        <f t="shared" si="59"/>
        <v>429</v>
      </c>
      <c r="C441" s="12" t="s">
        <v>226</v>
      </c>
      <c r="D441" s="11" t="s">
        <v>502</v>
      </c>
      <c r="E441" s="7">
        <v>324.38</v>
      </c>
      <c r="F441" s="7"/>
      <c r="G441" s="7"/>
      <c r="H441" s="8"/>
      <c r="I441" s="7">
        <f t="shared" si="56"/>
        <v>351.28</v>
      </c>
      <c r="J441" s="7">
        <f t="shared" si="57"/>
        <v>70.260000000000005</v>
      </c>
      <c r="K441" s="8">
        <f t="shared" si="58"/>
        <v>421.54</v>
      </c>
    </row>
    <row r="442" spans="1:11" ht="31.5" x14ac:dyDescent="0.25">
      <c r="A442" s="6">
        <f t="shared" si="60"/>
        <v>430</v>
      </c>
      <c r="B442" s="6">
        <f t="shared" si="59"/>
        <v>430</v>
      </c>
      <c r="C442" s="12" t="s">
        <v>227</v>
      </c>
      <c r="D442" s="11" t="s">
        <v>502</v>
      </c>
      <c r="E442" s="7">
        <v>383.96</v>
      </c>
      <c r="F442" s="7"/>
      <c r="G442" s="7"/>
      <c r="H442" s="8"/>
      <c r="I442" s="7">
        <f t="shared" si="56"/>
        <v>415.8</v>
      </c>
      <c r="J442" s="7">
        <f t="shared" si="57"/>
        <v>83.16</v>
      </c>
      <c r="K442" s="8">
        <f t="shared" si="58"/>
        <v>498.96</v>
      </c>
    </row>
    <row r="443" spans="1:11" ht="31.5" x14ac:dyDescent="0.25">
      <c r="A443" s="6">
        <f t="shared" si="60"/>
        <v>431</v>
      </c>
      <c r="B443" s="6">
        <f t="shared" si="59"/>
        <v>431</v>
      </c>
      <c r="C443" s="12" t="s">
        <v>228</v>
      </c>
      <c r="D443" s="11" t="s">
        <v>502</v>
      </c>
      <c r="E443" s="7">
        <v>403.83</v>
      </c>
      <c r="F443" s="7"/>
      <c r="G443" s="7"/>
      <c r="H443" s="8"/>
      <c r="I443" s="7">
        <f t="shared" si="56"/>
        <v>437.31</v>
      </c>
      <c r="J443" s="7">
        <f t="shared" si="57"/>
        <v>87.46</v>
      </c>
      <c r="K443" s="8">
        <f t="shared" si="58"/>
        <v>524.77</v>
      </c>
    </row>
    <row r="444" spans="1:11" ht="31.5" x14ac:dyDescent="0.25">
      <c r="A444" s="6">
        <f t="shared" si="60"/>
        <v>432</v>
      </c>
      <c r="B444" s="6">
        <f t="shared" si="59"/>
        <v>432</v>
      </c>
      <c r="C444" s="12" t="s">
        <v>229</v>
      </c>
      <c r="D444" s="11" t="s">
        <v>502</v>
      </c>
      <c r="E444" s="7">
        <v>433.61</v>
      </c>
      <c r="F444" s="7"/>
      <c r="G444" s="7"/>
      <c r="H444" s="8"/>
      <c r="I444" s="7">
        <f t="shared" si="56"/>
        <v>469.56</v>
      </c>
      <c r="J444" s="7">
        <f t="shared" si="57"/>
        <v>93.91</v>
      </c>
      <c r="K444" s="8">
        <f t="shared" si="58"/>
        <v>563.47</v>
      </c>
    </row>
    <row r="445" spans="1:11" ht="31.5" x14ac:dyDescent="0.25">
      <c r="A445" s="6">
        <f t="shared" si="60"/>
        <v>433</v>
      </c>
      <c r="B445" s="6">
        <f t="shared" si="59"/>
        <v>433</v>
      </c>
      <c r="C445" s="12" t="s">
        <v>230</v>
      </c>
      <c r="D445" s="11" t="s">
        <v>502</v>
      </c>
      <c r="E445" s="7">
        <v>463.4</v>
      </c>
      <c r="F445" s="7"/>
      <c r="G445" s="7"/>
      <c r="H445" s="8"/>
      <c r="I445" s="7">
        <f t="shared" si="56"/>
        <v>501.82</v>
      </c>
      <c r="J445" s="7">
        <f t="shared" si="57"/>
        <v>100.36</v>
      </c>
      <c r="K445" s="8">
        <f t="shared" si="58"/>
        <v>602.17999999999995</v>
      </c>
    </row>
    <row r="446" spans="1:11" ht="31.5" x14ac:dyDescent="0.25">
      <c r="A446" s="6">
        <f t="shared" si="60"/>
        <v>434</v>
      </c>
      <c r="B446" s="6">
        <f t="shared" si="59"/>
        <v>434</v>
      </c>
      <c r="C446" s="12" t="s">
        <v>231</v>
      </c>
      <c r="D446" s="11" t="s">
        <v>502</v>
      </c>
      <c r="E446" s="7">
        <v>483.26</v>
      </c>
      <c r="F446" s="7"/>
      <c r="G446" s="7"/>
      <c r="H446" s="8"/>
      <c r="I446" s="7">
        <f t="shared" si="56"/>
        <v>523.33000000000004</v>
      </c>
      <c r="J446" s="7">
        <f t="shared" si="57"/>
        <v>104.67</v>
      </c>
      <c r="K446" s="8">
        <f t="shared" si="58"/>
        <v>628</v>
      </c>
    </row>
    <row r="447" spans="1:11" ht="31.5" x14ac:dyDescent="0.25">
      <c r="A447" s="6">
        <f t="shared" ref="A447:B479" si="61">A446+1</f>
        <v>435</v>
      </c>
      <c r="B447" s="6">
        <f t="shared" si="59"/>
        <v>435</v>
      </c>
      <c r="C447" s="12" t="s">
        <v>232</v>
      </c>
      <c r="D447" s="11" t="s">
        <v>502</v>
      </c>
      <c r="E447" s="7">
        <v>506.44</v>
      </c>
      <c r="F447" s="7"/>
      <c r="G447" s="7"/>
      <c r="H447" s="8"/>
      <c r="I447" s="7">
        <f t="shared" si="56"/>
        <v>548.42999999999995</v>
      </c>
      <c r="J447" s="7">
        <f t="shared" si="57"/>
        <v>109.69</v>
      </c>
      <c r="K447" s="8">
        <f t="shared" si="58"/>
        <v>658.12</v>
      </c>
    </row>
    <row r="448" spans="1:11" ht="31.5" x14ac:dyDescent="0.25">
      <c r="A448" s="6">
        <f t="shared" si="61"/>
        <v>436</v>
      </c>
      <c r="B448" s="6">
        <f t="shared" si="59"/>
        <v>436</v>
      </c>
      <c r="C448" s="12" t="s">
        <v>233</v>
      </c>
      <c r="D448" s="11" t="s">
        <v>502</v>
      </c>
      <c r="E448" s="7">
        <v>526.29</v>
      </c>
      <c r="F448" s="7"/>
      <c r="G448" s="7"/>
      <c r="H448" s="8"/>
      <c r="I448" s="7">
        <f t="shared" si="56"/>
        <v>569.92999999999995</v>
      </c>
      <c r="J448" s="7">
        <f t="shared" ref="J448:J496" si="62">I448*0.2</f>
        <v>113.99</v>
      </c>
      <c r="K448" s="8">
        <f t="shared" ref="K448:K496" si="63">I448+J448</f>
        <v>683.92</v>
      </c>
    </row>
    <row r="449" spans="1:11" ht="31.5" x14ac:dyDescent="0.25">
      <c r="A449" s="6">
        <f t="shared" si="61"/>
        <v>437</v>
      </c>
      <c r="B449" s="6">
        <f t="shared" si="59"/>
        <v>437</v>
      </c>
      <c r="C449" s="12" t="s">
        <v>234</v>
      </c>
      <c r="D449" s="11" t="s">
        <v>502</v>
      </c>
      <c r="E449" s="7">
        <v>566.02</v>
      </c>
      <c r="F449" s="7"/>
      <c r="G449" s="7"/>
      <c r="H449" s="8"/>
      <c r="I449" s="7">
        <f t="shared" si="56"/>
        <v>612.95000000000005</v>
      </c>
      <c r="J449" s="7">
        <f t="shared" si="62"/>
        <v>122.59</v>
      </c>
      <c r="K449" s="8">
        <f t="shared" si="63"/>
        <v>735.54</v>
      </c>
    </row>
    <row r="450" spans="1:11" ht="31.5" x14ac:dyDescent="0.25">
      <c r="A450" s="6">
        <f t="shared" si="61"/>
        <v>438</v>
      </c>
      <c r="B450" s="6">
        <f t="shared" si="59"/>
        <v>438</v>
      </c>
      <c r="C450" s="12" t="s">
        <v>235</v>
      </c>
      <c r="D450" s="11" t="s">
        <v>502</v>
      </c>
      <c r="E450" s="7">
        <v>585.88</v>
      </c>
      <c r="F450" s="7"/>
      <c r="G450" s="7"/>
      <c r="H450" s="8"/>
      <c r="I450" s="7">
        <f t="shared" si="56"/>
        <v>634.46</v>
      </c>
      <c r="J450" s="7">
        <f t="shared" si="62"/>
        <v>126.89</v>
      </c>
      <c r="K450" s="8">
        <f t="shared" si="63"/>
        <v>761.35</v>
      </c>
    </row>
    <row r="451" spans="1:11" ht="31.5" x14ac:dyDescent="0.25">
      <c r="A451" s="6">
        <f t="shared" si="61"/>
        <v>439</v>
      </c>
      <c r="B451" s="6">
        <f t="shared" si="59"/>
        <v>439</v>
      </c>
      <c r="C451" s="12" t="s">
        <v>236</v>
      </c>
      <c r="D451" s="11" t="s">
        <v>502</v>
      </c>
      <c r="E451" s="7">
        <v>625.6</v>
      </c>
      <c r="F451" s="7"/>
      <c r="G451" s="7"/>
      <c r="H451" s="8"/>
      <c r="I451" s="7">
        <f t="shared" si="56"/>
        <v>677.47</v>
      </c>
      <c r="J451" s="7">
        <f t="shared" si="62"/>
        <v>135.49</v>
      </c>
      <c r="K451" s="8">
        <f t="shared" si="63"/>
        <v>812.96</v>
      </c>
    </row>
    <row r="452" spans="1:11" ht="31.5" x14ac:dyDescent="0.25">
      <c r="A452" s="6">
        <f t="shared" si="61"/>
        <v>440</v>
      </c>
      <c r="B452" s="6">
        <f t="shared" si="59"/>
        <v>440</v>
      </c>
      <c r="C452" s="12" t="s">
        <v>237</v>
      </c>
      <c r="D452" s="11" t="s">
        <v>502</v>
      </c>
      <c r="E452" s="7">
        <v>638.85</v>
      </c>
      <c r="F452" s="7"/>
      <c r="G452" s="7"/>
      <c r="H452" s="8"/>
      <c r="I452" s="7">
        <f t="shared" si="56"/>
        <v>691.82</v>
      </c>
      <c r="J452" s="7">
        <f t="shared" si="62"/>
        <v>138.36000000000001</v>
      </c>
      <c r="K452" s="8">
        <f t="shared" si="63"/>
        <v>830.18</v>
      </c>
    </row>
    <row r="453" spans="1:11" ht="31.5" x14ac:dyDescent="0.25">
      <c r="A453" s="6">
        <f t="shared" si="61"/>
        <v>441</v>
      </c>
      <c r="B453" s="6">
        <f t="shared" si="59"/>
        <v>441</v>
      </c>
      <c r="C453" s="12" t="s">
        <v>238</v>
      </c>
      <c r="D453" s="11" t="s">
        <v>502</v>
      </c>
      <c r="E453" s="7">
        <v>668.62</v>
      </c>
      <c r="F453" s="7"/>
      <c r="G453" s="7"/>
      <c r="H453" s="8"/>
      <c r="I453" s="7">
        <f t="shared" si="56"/>
        <v>724.06</v>
      </c>
      <c r="J453" s="7">
        <f t="shared" si="62"/>
        <v>144.81</v>
      </c>
      <c r="K453" s="8">
        <f t="shared" si="63"/>
        <v>868.87</v>
      </c>
    </row>
    <row r="454" spans="1:11" ht="31.5" x14ac:dyDescent="0.25">
      <c r="A454" s="6">
        <f t="shared" si="61"/>
        <v>442</v>
      </c>
      <c r="B454" s="6">
        <f t="shared" si="59"/>
        <v>442</v>
      </c>
      <c r="C454" s="12" t="s">
        <v>239</v>
      </c>
      <c r="D454" s="11" t="s">
        <v>502</v>
      </c>
      <c r="E454" s="7">
        <v>820.89</v>
      </c>
      <c r="F454" s="7"/>
      <c r="G454" s="7"/>
      <c r="H454" s="8"/>
      <c r="I454" s="7">
        <f t="shared" si="56"/>
        <v>888.95</v>
      </c>
      <c r="J454" s="7">
        <f t="shared" si="62"/>
        <v>177.79</v>
      </c>
      <c r="K454" s="8">
        <f t="shared" si="63"/>
        <v>1066.74</v>
      </c>
    </row>
    <row r="455" spans="1:11" ht="31.5" x14ac:dyDescent="0.25">
      <c r="A455" s="6">
        <f t="shared" si="61"/>
        <v>443</v>
      </c>
      <c r="B455" s="6">
        <f t="shared" si="59"/>
        <v>443</v>
      </c>
      <c r="C455" s="12" t="s">
        <v>240</v>
      </c>
      <c r="D455" s="11" t="s">
        <v>502</v>
      </c>
      <c r="E455" s="7">
        <v>893.71</v>
      </c>
      <c r="F455" s="7"/>
      <c r="G455" s="7"/>
      <c r="H455" s="8"/>
      <c r="I455" s="7">
        <f t="shared" si="56"/>
        <v>967.81</v>
      </c>
      <c r="J455" s="7">
        <f t="shared" si="62"/>
        <v>193.56</v>
      </c>
      <c r="K455" s="8">
        <f t="shared" si="63"/>
        <v>1161.3699999999999</v>
      </c>
    </row>
    <row r="456" spans="1:11" ht="31.5" x14ac:dyDescent="0.25">
      <c r="A456" s="6">
        <f t="shared" si="61"/>
        <v>444</v>
      </c>
      <c r="B456" s="6">
        <f t="shared" si="59"/>
        <v>444</v>
      </c>
      <c r="C456" s="12" t="s">
        <v>241</v>
      </c>
      <c r="D456" s="11" t="s">
        <v>502</v>
      </c>
      <c r="E456" s="7">
        <v>943.36</v>
      </c>
      <c r="F456" s="7"/>
      <c r="G456" s="7"/>
      <c r="H456" s="8"/>
      <c r="I456" s="7">
        <f t="shared" si="56"/>
        <v>1021.58</v>
      </c>
      <c r="J456" s="7">
        <f t="shared" si="62"/>
        <v>204.32</v>
      </c>
      <c r="K456" s="8">
        <f t="shared" si="63"/>
        <v>1225.9000000000001</v>
      </c>
    </row>
    <row r="457" spans="1:11" ht="31.5" x14ac:dyDescent="0.25">
      <c r="A457" s="6">
        <f t="shared" si="61"/>
        <v>445</v>
      </c>
      <c r="B457" s="6">
        <f t="shared" si="59"/>
        <v>445</v>
      </c>
      <c r="C457" s="12" t="s">
        <v>242</v>
      </c>
      <c r="D457" s="11" t="s">
        <v>502</v>
      </c>
      <c r="E457" s="7">
        <v>973.15</v>
      </c>
      <c r="F457" s="7"/>
      <c r="G457" s="7"/>
      <c r="H457" s="8"/>
      <c r="I457" s="7">
        <f t="shared" si="56"/>
        <v>1053.8399999999999</v>
      </c>
      <c r="J457" s="7">
        <f t="shared" si="62"/>
        <v>210.77</v>
      </c>
      <c r="K457" s="8">
        <f t="shared" si="63"/>
        <v>1264.6099999999999</v>
      </c>
    </row>
    <row r="458" spans="1:11" ht="31.5" x14ac:dyDescent="0.25">
      <c r="A458" s="6">
        <f t="shared" si="61"/>
        <v>446</v>
      </c>
      <c r="B458" s="6">
        <f t="shared" si="59"/>
        <v>446</v>
      </c>
      <c r="C458" s="12" t="s">
        <v>243</v>
      </c>
      <c r="D458" s="11" t="s">
        <v>502</v>
      </c>
      <c r="E458" s="7">
        <v>1026.1099999999999</v>
      </c>
      <c r="F458" s="7"/>
      <c r="G458" s="7"/>
      <c r="H458" s="8"/>
      <c r="I458" s="7">
        <f t="shared" si="56"/>
        <v>1111.19</v>
      </c>
      <c r="J458" s="7">
        <f t="shared" si="62"/>
        <v>222.24</v>
      </c>
      <c r="K458" s="8">
        <f t="shared" si="63"/>
        <v>1333.43</v>
      </c>
    </row>
    <row r="459" spans="1:11" ht="31.5" x14ac:dyDescent="0.25">
      <c r="A459" s="6">
        <f t="shared" si="61"/>
        <v>447</v>
      </c>
      <c r="B459" s="6">
        <f t="shared" si="59"/>
        <v>447</v>
      </c>
      <c r="C459" s="12" t="s">
        <v>244</v>
      </c>
      <c r="D459" s="11" t="s">
        <v>502</v>
      </c>
      <c r="E459" s="7">
        <v>1095.6300000000001</v>
      </c>
      <c r="F459" s="7"/>
      <c r="G459" s="7"/>
      <c r="H459" s="8"/>
      <c r="I459" s="7">
        <f t="shared" si="56"/>
        <v>1186.47</v>
      </c>
      <c r="J459" s="7">
        <f t="shared" si="62"/>
        <v>237.29</v>
      </c>
      <c r="K459" s="8">
        <f t="shared" si="63"/>
        <v>1423.76</v>
      </c>
    </row>
    <row r="460" spans="1:11" ht="31.5" x14ac:dyDescent="0.25">
      <c r="A460" s="6">
        <f t="shared" si="61"/>
        <v>448</v>
      </c>
      <c r="B460" s="6">
        <f t="shared" si="59"/>
        <v>448</v>
      </c>
      <c r="C460" s="12" t="s">
        <v>245</v>
      </c>
      <c r="D460" s="11" t="s">
        <v>502</v>
      </c>
      <c r="E460" s="7">
        <v>1909.9</v>
      </c>
      <c r="F460" s="7"/>
      <c r="G460" s="7"/>
      <c r="H460" s="8"/>
      <c r="I460" s="7">
        <f t="shared" ref="I460:I496" si="64">E460*1.0083*1.074</f>
        <v>2068.2600000000002</v>
      </c>
      <c r="J460" s="7">
        <f t="shared" si="62"/>
        <v>413.65</v>
      </c>
      <c r="K460" s="8">
        <f t="shared" si="63"/>
        <v>2481.91</v>
      </c>
    </row>
    <row r="461" spans="1:11" ht="31.5" x14ac:dyDescent="0.25">
      <c r="A461" s="6">
        <f t="shared" si="61"/>
        <v>449</v>
      </c>
      <c r="B461" s="6">
        <f t="shared" si="59"/>
        <v>449</v>
      </c>
      <c r="C461" s="12" t="s">
        <v>246</v>
      </c>
      <c r="D461" s="11" t="s">
        <v>502</v>
      </c>
      <c r="E461" s="7">
        <v>2317.02</v>
      </c>
      <c r="F461" s="7"/>
      <c r="G461" s="7"/>
      <c r="H461" s="8"/>
      <c r="I461" s="7">
        <f t="shared" si="64"/>
        <v>2509.13</v>
      </c>
      <c r="J461" s="7">
        <f t="shared" si="62"/>
        <v>501.83</v>
      </c>
      <c r="K461" s="8">
        <f t="shared" si="63"/>
        <v>3010.96</v>
      </c>
    </row>
    <row r="462" spans="1:11" ht="31.5" x14ac:dyDescent="0.25">
      <c r="A462" s="6">
        <f t="shared" si="61"/>
        <v>450</v>
      </c>
      <c r="B462" s="6">
        <f t="shared" si="59"/>
        <v>450</v>
      </c>
      <c r="C462" s="12" t="s">
        <v>247</v>
      </c>
      <c r="D462" s="11" t="s">
        <v>502</v>
      </c>
      <c r="E462" s="7">
        <v>2624.85</v>
      </c>
      <c r="F462" s="7"/>
      <c r="G462" s="7"/>
      <c r="H462" s="8"/>
      <c r="I462" s="7">
        <f t="shared" si="64"/>
        <v>2842.49</v>
      </c>
      <c r="J462" s="7">
        <f t="shared" si="62"/>
        <v>568.5</v>
      </c>
      <c r="K462" s="8">
        <f t="shared" si="63"/>
        <v>3410.99</v>
      </c>
    </row>
    <row r="463" spans="1:11" ht="31.5" x14ac:dyDescent="0.25">
      <c r="A463" s="6">
        <f t="shared" si="61"/>
        <v>451</v>
      </c>
      <c r="B463" s="6">
        <f t="shared" si="59"/>
        <v>451</v>
      </c>
      <c r="C463" s="12" t="s">
        <v>248</v>
      </c>
      <c r="D463" s="11" t="s">
        <v>502</v>
      </c>
      <c r="E463" s="7">
        <v>2826.77</v>
      </c>
      <c r="F463" s="7"/>
      <c r="G463" s="7"/>
      <c r="H463" s="8"/>
      <c r="I463" s="7">
        <f t="shared" si="64"/>
        <v>3061.15</v>
      </c>
      <c r="J463" s="7">
        <f t="shared" si="62"/>
        <v>612.23</v>
      </c>
      <c r="K463" s="8">
        <f t="shared" si="63"/>
        <v>3673.38</v>
      </c>
    </row>
    <row r="464" spans="1:11" ht="31.5" x14ac:dyDescent="0.25">
      <c r="A464" s="6">
        <f t="shared" si="61"/>
        <v>452</v>
      </c>
      <c r="B464" s="6">
        <f t="shared" si="59"/>
        <v>452</v>
      </c>
      <c r="C464" s="12" t="s">
        <v>249</v>
      </c>
      <c r="D464" s="11" t="s">
        <v>502</v>
      </c>
      <c r="E464" s="7">
        <v>3131.29</v>
      </c>
      <c r="F464" s="7"/>
      <c r="G464" s="7"/>
      <c r="H464" s="8"/>
      <c r="I464" s="7">
        <f t="shared" si="64"/>
        <v>3390.92</v>
      </c>
      <c r="J464" s="7">
        <f t="shared" si="62"/>
        <v>678.18</v>
      </c>
      <c r="K464" s="8">
        <f t="shared" si="63"/>
        <v>4069.1</v>
      </c>
    </row>
    <row r="465" spans="1:11" ht="31.5" x14ac:dyDescent="0.25">
      <c r="A465" s="6">
        <f t="shared" si="61"/>
        <v>453</v>
      </c>
      <c r="B465" s="6">
        <f t="shared" si="59"/>
        <v>453</v>
      </c>
      <c r="C465" s="12" t="s">
        <v>250</v>
      </c>
      <c r="D465" s="11" t="s">
        <v>502</v>
      </c>
      <c r="E465" s="7">
        <v>3336.51</v>
      </c>
      <c r="F465" s="7"/>
      <c r="G465" s="7"/>
      <c r="H465" s="8"/>
      <c r="I465" s="7">
        <f t="shared" si="64"/>
        <v>3613.15</v>
      </c>
      <c r="J465" s="7">
        <f t="shared" si="62"/>
        <v>722.63</v>
      </c>
      <c r="K465" s="8">
        <f t="shared" si="63"/>
        <v>4335.78</v>
      </c>
    </row>
    <row r="466" spans="1:11" ht="18.75" x14ac:dyDescent="0.25">
      <c r="A466" s="6">
        <f t="shared" si="61"/>
        <v>454</v>
      </c>
      <c r="B466" s="6">
        <f t="shared" si="59"/>
        <v>454</v>
      </c>
      <c r="C466" s="12" t="s">
        <v>251</v>
      </c>
      <c r="D466" s="11" t="s">
        <v>502</v>
      </c>
      <c r="E466" s="7">
        <v>1087.92</v>
      </c>
      <c r="F466" s="7"/>
      <c r="G466" s="7"/>
      <c r="H466" s="8"/>
      <c r="I466" s="7">
        <f t="shared" si="64"/>
        <v>1178.1199999999999</v>
      </c>
      <c r="J466" s="7">
        <f t="shared" si="62"/>
        <v>235.62</v>
      </c>
      <c r="K466" s="8">
        <f t="shared" si="63"/>
        <v>1413.74</v>
      </c>
    </row>
    <row r="467" spans="1:11" ht="31.5" x14ac:dyDescent="0.25">
      <c r="A467" s="6">
        <f t="shared" si="61"/>
        <v>455</v>
      </c>
      <c r="B467" s="6">
        <f t="shared" si="59"/>
        <v>455</v>
      </c>
      <c r="C467" s="12" t="s">
        <v>252</v>
      </c>
      <c r="D467" s="11" t="s">
        <v>502</v>
      </c>
      <c r="E467" s="7">
        <v>1457.71</v>
      </c>
      <c r="F467" s="7"/>
      <c r="G467" s="7"/>
      <c r="H467" s="8"/>
      <c r="I467" s="7">
        <f t="shared" si="64"/>
        <v>1578.57</v>
      </c>
      <c r="J467" s="7">
        <f t="shared" si="62"/>
        <v>315.70999999999998</v>
      </c>
      <c r="K467" s="8">
        <f t="shared" si="63"/>
        <v>1894.28</v>
      </c>
    </row>
    <row r="468" spans="1:11" ht="31.5" x14ac:dyDescent="0.25">
      <c r="A468" s="6">
        <f t="shared" si="61"/>
        <v>456</v>
      </c>
      <c r="B468" s="6">
        <f t="shared" si="59"/>
        <v>456</v>
      </c>
      <c r="C468" s="12" t="s">
        <v>253</v>
      </c>
      <c r="D468" s="11" t="s">
        <v>502</v>
      </c>
      <c r="E468" s="7">
        <v>2283.0300000000002</v>
      </c>
      <c r="F468" s="7"/>
      <c r="G468" s="7"/>
      <c r="H468" s="8"/>
      <c r="I468" s="7">
        <f t="shared" si="64"/>
        <v>2472.33</v>
      </c>
      <c r="J468" s="7">
        <f t="shared" si="62"/>
        <v>494.47</v>
      </c>
      <c r="K468" s="8">
        <f t="shared" si="63"/>
        <v>2966.8</v>
      </c>
    </row>
    <row r="469" spans="1:11" ht="31.5" x14ac:dyDescent="0.25">
      <c r="A469" s="6">
        <f t="shared" si="61"/>
        <v>457</v>
      </c>
      <c r="B469" s="6">
        <f t="shared" si="59"/>
        <v>457</v>
      </c>
      <c r="C469" s="12" t="s">
        <v>254</v>
      </c>
      <c r="D469" s="11" t="s">
        <v>502</v>
      </c>
      <c r="E469" s="7">
        <v>2532.23</v>
      </c>
      <c r="F469" s="7"/>
      <c r="G469" s="7"/>
      <c r="H469" s="8"/>
      <c r="I469" s="7">
        <f t="shared" si="64"/>
        <v>2742.19</v>
      </c>
      <c r="J469" s="7">
        <f t="shared" si="62"/>
        <v>548.44000000000005</v>
      </c>
      <c r="K469" s="8">
        <f t="shared" si="63"/>
        <v>3290.63</v>
      </c>
    </row>
    <row r="470" spans="1:11" ht="31.5" x14ac:dyDescent="0.25">
      <c r="A470" s="6">
        <f t="shared" si="61"/>
        <v>458</v>
      </c>
      <c r="B470" s="6">
        <f t="shared" si="59"/>
        <v>458</v>
      </c>
      <c r="C470" s="12" t="s">
        <v>255</v>
      </c>
      <c r="D470" s="11" t="s">
        <v>502</v>
      </c>
      <c r="E470" s="7">
        <v>2695.69</v>
      </c>
      <c r="F470" s="7"/>
      <c r="G470" s="7"/>
      <c r="H470" s="8"/>
      <c r="I470" s="7">
        <f t="shared" si="64"/>
        <v>2919.2</v>
      </c>
      <c r="J470" s="7">
        <f t="shared" si="62"/>
        <v>583.84</v>
      </c>
      <c r="K470" s="8">
        <f t="shared" si="63"/>
        <v>3503.04</v>
      </c>
    </row>
    <row r="471" spans="1:11" ht="31.5" x14ac:dyDescent="0.25">
      <c r="A471" s="6">
        <f t="shared" si="61"/>
        <v>459</v>
      </c>
      <c r="B471" s="6">
        <f t="shared" si="59"/>
        <v>459</v>
      </c>
      <c r="C471" s="12" t="s">
        <v>256</v>
      </c>
      <c r="D471" s="11" t="s">
        <v>502</v>
      </c>
      <c r="E471" s="7">
        <v>2923.46</v>
      </c>
      <c r="F471" s="7"/>
      <c r="G471" s="7"/>
      <c r="H471" s="8"/>
      <c r="I471" s="7">
        <f t="shared" si="64"/>
        <v>3165.86</v>
      </c>
      <c r="J471" s="7">
        <f t="shared" si="62"/>
        <v>633.16999999999996</v>
      </c>
      <c r="K471" s="8">
        <f t="shared" si="63"/>
        <v>3799.03</v>
      </c>
    </row>
    <row r="472" spans="1:11" ht="31.5" x14ac:dyDescent="0.25">
      <c r="A472" s="6">
        <f t="shared" si="61"/>
        <v>460</v>
      </c>
      <c r="B472" s="6">
        <f t="shared" si="59"/>
        <v>460</v>
      </c>
      <c r="C472" s="12" t="s">
        <v>257</v>
      </c>
      <c r="D472" s="11" t="s">
        <v>502</v>
      </c>
      <c r="E472" s="7">
        <v>3078.87</v>
      </c>
      <c r="F472" s="7"/>
      <c r="G472" s="7"/>
      <c r="H472" s="8"/>
      <c r="I472" s="7">
        <f t="shared" si="64"/>
        <v>3334.15</v>
      </c>
      <c r="J472" s="7">
        <f t="shared" si="62"/>
        <v>666.83</v>
      </c>
      <c r="K472" s="8">
        <f t="shared" si="63"/>
        <v>4000.98</v>
      </c>
    </row>
    <row r="473" spans="1:11" ht="47.25" x14ac:dyDescent="0.25">
      <c r="A473" s="6">
        <f t="shared" si="61"/>
        <v>461</v>
      </c>
      <c r="B473" s="6">
        <f t="shared" si="59"/>
        <v>461</v>
      </c>
      <c r="C473" s="12" t="s">
        <v>258</v>
      </c>
      <c r="D473" s="11" t="s">
        <v>504</v>
      </c>
      <c r="E473" s="7">
        <v>6186.86</v>
      </c>
      <c r="F473" s="7"/>
      <c r="G473" s="7"/>
      <c r="H473" s="8"/>
      <c r="I473" s="7">
        <f t="shared" si="64"/>
        <v>6699.84</v>
      </c>
      <c r="J473" s="7">
        <f t="shared" si="62"/>
        <v>1339.97</v>
      </c>
      <c r="K473" s="8">
        <f t="shared" si="63"/>
        <v>8039.81</v>
      </c>
    </row>
    <row r="474" spans="1:11" ht="31.5" x14ac:dyDescent="0.25">
      <c r="A474" s="6">
        <f t="shared" si="61"/>
        <v>462</v>
      </c>
      <c r="B474" s="6">
        <f t="shared" si="59"/>
        <v>462</v>
      </c>
      <c r="C474" s="12" t="s">
        <v>259</v>
      </c>
      <c r="D474" s="11" t="s">
        <v>504</v>
      </c>
      <c r="E474" s="7">
        <v>6485.68</v>
      </c>
      <c r="F474" s="7"/>
      <c r="G474" s="7"/>
      <c r="H474" s="8"/>
      <c r="I474" s="7">
        <f t="shared" si="64"/>
        <v>7023.43</v>
      </c>
      <c r="J474" s="7">
        <f t="shared" si="62"/>
        <v>1404.69</v>
      </c>
      <c r="K474" s="8">
        <f t="shared" si="63"/>
        <v>8428.1200000000008</v>
      </c>
    </row>
    <row r="475" spans="1:11" ht="18.75" x14ac:dyDescent="0.25">
      <c r="A475" s="6">
        <f t="shared" si="61"/>
        <v>463</v>
      </c>
      <c r="B475" s="6">
        <f t="shared" si="59"/>
        <v>463</v>
      </c>
      <c r="C475" s="12" t="s">
        <v>260</v>
      </c>
      <c r="D475" s="11" t="s">
        <v>504</v>
      </c>
      <c r="E475" s="7">
        <v>2821.77</v>
      </c>
      <c r="F475" s="7"/>
      <c r="G475" s="7"/>
      <c r="H475" s="8"/>
      <c r="I475" s="7">
        <f t="shared" si="64"/>
        <v>3055.73</v>
      </c>
      <c r="J475" s="7">
        <f t="shared" si="62"/>
        <v>611.15</v>
      </c>
      <c r="K475" s="8">
        <f t="shared" si="63"/>
        <v>3666.88</v>
      </c>
    </row>
    <row r="476" spans="1:11" ht="18.75" x14ac:dyDescent="0.25">
      <c r="A476" s="6">
        <f t="shared" si="61"/>
        <v>464</v>
      </c>
      <c r="B476" s="6">
        <f t="shared" si="59"/>
        <v>464</v>
      </c>
      <c r="C476" s="12" t="s">
        <v>261</v>
      </c>
      <c r="D476" s="11" t="s">
        <v>504</v>
      </c>
      <c r="E476" s="7">
        <v>2821.77</v>
      </c>
      <c r="F476" s="7"/>
      <c r="G476" s="7"/>
      <c r="H476" s="8"/>
      <c r="I476" s="7">
        <f t="shared" si="64"/>
        <v>3055.73</v>
      </c>
      <c r="J476" s="7">
        <f t="shared" si="62"/>
        <v>611.15</v>
      </c>
      <c r="K476" s="8">
        <f t="shared" si="63"/>
        <v>3666.88</v>
      </c>
    </row>
    <row r="477" spans="1:11" ht="18.75" x14ac:dyDescent="0.25">
      <c r="A477" s="6">
        <f t="shared" si="61"/>
        <v>465</v>
      </c>
      <c r="B477" s="6">
        <f t="shared" si="59"/>
        <v>465</v>
      </c>
      <c r="C477" s="12" t="s">
        <v>262</v>
      </c>
      <c r="D477" s="11" t="s">
        <v>504</v>
      </c>
      <c r="E477" s="7">
        <v>1161.42</v>
      </c>
      <c r="F477" s="7"/>
      <c r="G477" s="7"/>
      <c r="H477" s="8"/>
      <c r="I477" s="7">
        <f t="shared" si="64"/>
        <v>1257.72</v>
      </c>
      <c r="J477" s="7">
        <f t="shared" si="62"/>
        <v>251.54</v>
      </c>
      <c r="K477" s="8">
        <f t="shared" si="63"/>
        <v>1509.26</v>
      </c>
    </row>
    <row r="478" spans="1:11" ht="18.75" x14ac:dyDescent="0.25">
      <c r="A478" s="6">
        <f t="shared" si="61"/>
        <v>466</v>
      </c>
      <c r="B478" s="6">
        <f t="shared" si="59"/>
        <v>466</v>
      </c>
      <c r="C478" s="12" t="s">
        <v>263</v>
      </c>
      <c r="D478" s="11" t="s">
        <v>504</v>
      </c>
      <c r="E478" s="7">
        <v>1161.42</v>
      </c>
      <c r="F478" s="7"/>
      <c r="G478" s="7"/>
      <c r="H478" s="8"/>
      <c r="I478" s="7">
        <f t="shared" si="64"/>
        <v>1257.72</v>
      </c>
      <c r="J478" s="7">
        <f t="shared" si="62"/>
        <v>251.54</v>
      </c>
      <c r="K478" s="8">
        <f t="shared" si="63"/>
        <v>1509.26</v>
      </c>
    </row>
    <row r="479" spans="1:11" ht="18.75" x14ac:dyDescent="0.25">
      <c r="A479" s="6">
        <f t="shared" si="61"/>
        <v>467</v>
      </c>
      <c r="B479" s="6">
        <f t="shared" si="61"/>
        <v>467</v>
      </c>
      <c r="C479" s="12" t="s">
        <v>264</v>
      </c>
      <c r="D479" s="11" t="s">
        <v>504</v>
      </c>
      <c r="E479" s="7">
        <v>1161.42</v>
      </c>
      <c r="F479" s="7"/>
      <c r="G479" s="7"/>
      <c r="H479" s="8"/>
      <c r="I479" s="7">
        <f t="shared" si="64"/>
        <v>1257.72</v>
      </c>
      <c r="J479" s="7">
        <f t="shared" si="62"/>
        <v>251.54</v>
      </c>
      <c r="K479" s="8">
        <f t="shared" si="63"/>
        <v>1509.26</v>
      </c>
    </row>
    <row r="480" spans="1:11" ht="18.75" x14ac:dyDescent="0.25">
      <c r="A480" s="6">
        <f t="shared" ref="A480:B495" si="65">A479+1</f>
        <v>468</v>
      </c>
      <c r="B480" s="6">
        <f t="shared" si="65"/>
        <v>468</v>
      </c>
      <c r="C480" s="12" t="s">
        <v>265</v>
      </c>
      <c r="D480" s="11" t="s">
        <v>504</v>
      </c>
      <c r="E480" s="7">
        <v>2322.84</v>
      </c>
      <c r="F480" s="7"/>
      <c r="G480" s="7"/>
      <c r="H480" s="8"/>
      <c r="I480" s="7">
        <f t="shared" si="64"/>
        <v>2515.44</v>
      </c>
      <c r="J480" s="7">
        <f t="shared" si="62"/>
        <v>503.09</v>
      </c>
      <c r="K480" s="8">
        <f t="shared" si="63"/>
        <v>3018.53</v>
      </c>
    </row>
    <row r="481" spans="1:11" ht="18.75" x14ac:dyDescent="0.25">
      <c r="A481" s="6">
        <f t="shared" si="65"/>
        <v>469</v>
      </c>
      <c r="B481" s="6">
        <f t="shared" si="65"/>
        <v>469</v>
      </c>
      <c r="C481" s="12" t="s">
        <v>266</v>
      </c>
      <c r="D481" s="11" t="s">
        <v>504</v>
      </c>
      <c r="E481" s="7">
        <v>1161.42</v>
      </c>
      <c r="F481" s="7"/>
      <c r="G481" s="7"/>
      <c r="H481" s="8"/>
      <c r="I481" s="7">
        <f t="shared" si="64"/>
        <v>1257.72</v>
      </c>
      <c r="J481" s="7">
        <f t="shared" si="62"/>
        <v>251.54</v>
      </c>
      <c r="K481" s="8">
        <f t="shared" si="63"/>
        <v>1509.26</v>
      </c>
    </row>
    <row r="482" spans="1:11" ht="18.75" x14ac:dyDescent="0.25">
      <c r="A482" s="6">
        <f t="shared" si="65"/>
        <v>470</v>
      </c>
      <c r="B482" s="6">
        <f t="shared" si="65"/>
        <v>470</v>
      </c>
      <c r="C482" s="12" t="s">
        <v>267</v>
      </c>
      <c r="D482" s="11" t="s">
        <v>504</v>
      </c>
      <c r="E482" s="7">
        <v>6186.86</v>
      </c>
      <c r="F482" s="7"/>
      <c r="G482" s="7"/>
      <c r="H482" s="8"/>
      <c r="I482" s="7">
        <f t="shared" si="64"/>
        <v>6699.84</v>
      </c>
      <c r="J482" s="7">
        <f t="shared" si="62"/>
        <v>1339.97</v>
      </c>
      <c r="K482" s="8">
        <f t="shared" si="63"/>
        <v>8039.81</v>
      </c>
    </row>
    <row r="483" spans="1:11" ht="18.75" x14ac:dyDescent="0.25">
      <c r="A483" s="6">
        <f t="shared" si="65"/>
        <v>471</v>
      </c>
      <c r="B483" s="6">
        <f t="shared" si="65"/>
        <v>471</v>
      </c>
      <c r="C483" s="12" t="s">
        <v>268</v>
      </c>
      <c r="D483" s="11" t="s">
        <v>504</v>
      </c>
      <c r="E483" s="7">
        <v>2896.71</v>
      </c>
      <c r="F483" s="7"/>
      <c r="G483" s="7"/>
      <c r="H483" s="8"/>
      <c r="I483" s="7">
        <f t="shared" si="64"/>
        <v>3136.89</v>
      </c>
      <c r="J483" s="7">
        <f t="shared" si="62"/>
        <v>627.38</v>
      </c>
      <c r="K483" s="8">
        <f t="shared" si="63"/>
        <v>3764.27</v>
      </c>
    </row>
    <row r="484" spans="1:11" ht="18.75" x14ac:dyDescent="0.25">
      <c r="A484" s="6">
        <f t="shared" si="65"/>
        <v>472</v>
      </c>
      <c r="B484" s="6">
        <f t="shared" si="65"/>
        <v>472</v>
      </c>
      <c r="C484" s="12" t="s">
        <v>269</v>
      </c>
      <c r="D484" s="11" t="s">
        <v>504</v>
      </c>
      <c r="E484" s="7">
        <v>5833.05</v>
      </c>
      <c r="F484" s="7"/>
      <c r="G484" s="7"/>
      <c r="H484" s="8"/>
      <c r="I484" s="7">
        <f t="shared" si="64"/>
        <v>6316.69</v>
      </c>
      <c r="J484" s="7">
        <f t="shared" si="62"/>
        <v>1263.3399999999999</v>
      </c>
      <c r="K484" s="8">
        <f t="shared" si="63"/>
        <v>7580.03</v>
      </c>
    </row>
    <row r="485" spans="1:11" ht="18.75" x14ac:dyDescent="0.25">
      <c r="A485" s="6">
        <f t="shared" si="65"/>
        <v>473</v>
      </c>
      <c r="B485" s="6">
        <f t="shared" si="65"/>
        <v>473</v>
      </c>
      <c r="C485" s="12" t="s">
        <v>270</v>
      </c>
      <c r="D485" s="11" t="s">
        <v>504</v>
      </c>
      <c r="E485" s="7">
        <v>11611.94</v>
      </c>
      <c r="F485" s="7"/>
      <c r="G485" s="7"/>
      <c r="H485" s="8"/>
      <c r="I485" s="7">
        <f t="shared" si="64"/>
        <v>12574.73</v>
      </c>
      <c r="J485" s="7">
        <f t="shared" si="62"/>
        <v>2514.9499999999998</v>
      </c>
      <c r="K485" s="8">
        <f t="shared" si="63"/>
        <v>15089.68</v>
      </c>
    </row>
    <row r="486" spans="1:11" ht="18.75" x14ac:dyDescent="0.25">
      <c r="A486" s="6">
        <f t="shared" si="65"/>
        <v>474</v>
      </c>
      <c r="B486" s="6">
        <f t="shared" si="65"/>
        <v>474</v>
      </c>
      <c r="C486" s="12" t="s">
        <v>271</v>
      </c>
      <c r="D486" s="11" t="s">
        <v>504</v>
      </c>
      <c r="E486" s="7">
        <v>7451.13</v>
      </c>
      <c r="F486" s="7"/>
      <c r="G486" s="7"/>
      <c r="H486" s="8"/>
      <c r="I486" s="7">
        <f t="shared" si="64"/>
        <v>8068.93</v>
      </c>
      <c r="J486" s="7">
        <f t="shared" si="62"/>
        <v>1613.79</v>
      </c>
      <c r="K486" s="8">
        <f t="shared" si="63"/>
        <v>9682.7199999999993</v>
      </c>
    </row>
    <row r="487" spans="1:11" ht="18.75" x14ac:dyDescent="0.25">
      <c r="A487" s="6">
        <f t="shared" si="65"/>
        <v>475</v>
      </c>
      <c r="B487" s="6">
        <f t="shared" si="65"/>
        <v>475</v>
      </c>
      <c r="C487" s="12" t="s">
        <v>272</v>
      </c>
      <c r="D487" s="11" t="s">
        <v>504</v>
      </c>
      <c r="E487" s="7">
        <v>2693.51</v>
      </c>
      <c r="F487" s="7"/>
      <c r="G487" s="7"/>
      <c r="H487" s="8"/>
      <c r="I487" s="7">
        <f t="shared" si="64"/>
        <v>2916.84</v>
      </c>
      <c r="J487" s="7">
        <f t="shared" si="62"/>
        <v>583.37</v>
      </c>
      <c r="K487" s="8">
        <f t="shared" si="63"/>
        <v>3500.21</v>
      </c>
    </row>
    <row r="488" spans="1:11" ht="18.75" x14ac:dyDescent="0.25">
      <c r="A488" s="6">
        <f t="shared" si="65"/>
        <v>476</v>
      </c>
      <c r="B488" s="6">
        <f t="shared" si="65"/>
        <v>476</v>
      </c>
      <c r="C488" s="12" t="s">
        <v>273</v>
      </c>
      <c r="D488" s="11" t="s">
        <v>504</v>
      </c>
      <c r="E488" s="7">
        <v>2499.11</v>
      </c>
      <c r="F488" s="7"/>
      <c r="G488" s="7"/>
      <c r="H488" s="8"/>
      <c r="I488" s="7">
        <f t="shared" si="64"/>
        <v>2706.32</v>
      </c>
      <c r="J488" s="7">
        <f t="shared" si="62"/>
        <v>541.26</v>
      </c>
      <c r="K488" s="8">
        <f t="shared" si="63"/>
        <v>3247.58</v>
      </c>
    </row>
    <row r="489" spans="1:11" ht="18.75" x14ac:dyDescent="0.25">
      <c r="A489" s="6">
        <f t="shared" ref="A489:A496" si="66">A488+1</f>
        <v>477</v>
      </c>
      <c r="B489" s="6">
        <f t="shared" si="65"/>
        <v>477</v>
      </c>
      <c r="C489" s="15" t="s">
        <v>274</v>
      </c>
      <c r="D489" s="14" t="s">
        <v>504</v>
      </c>
      <c r="E489" s="7">
        <v>3104.4</v>
      </c>
      <c r="F489" s="7"/>
      <c r="G489" s="7"/>
      <c r="H489" s="8"/>
      <c r="I489" s="7">
        <f t="shared" si="64"/>
        <v>3361.8</v>
      </c>
      <c r="J489" s="7">
        <f t="shared" si="62"/>
        <v>672.36</v>
      </c>
      <c r="K489" s="8">
        <f t="shared" si="63"/>
        <v>4034.16</v>
      </c>
    </row>
    <row r="490" spans="1:11" ht="31.5" x14ac:dyDescent="0.25">
      <c r="A490" s="6">
        <f t="shared" si="66"/>
        <v>478</v>
      </c>
      <c r="B490" s="6">
        <f t="shared" si="65"/>
        <v>478</v>
      </c>
      <c r="C490" s="12" t="s">
        <v>275</v>
      </c>
      <c r="D490" s="11" t="s">
        <v>495</v>
      </c>
      <c r="E490" s="7">
        <v>88238.84</v>
      </c>
      <c r="F490" s="7"/>
      <c r="G490" s="7"/>
      <c r="H490" s="8"/>
      <c r="I490" s="7">
        <f t="shared" si="64"/>
        <v>95555.09</v>
      </c>
      <c r="J490" s="7">
        <f t="shared" si="62"/>
        <v>19111.02</v>
      </c>
      <c r="K490" s="8">
        <f t="shared" si="63"/>
        <v>114666.11</v>
      </c>
    </row>
    <row r="491" spans="1:11" ht="31.5" x14ac:dyDescent="0.25">
      <c r="A491" s="6">
        <f t="shared" si="66"/>
        <v>479</v>
      </c>
      <c r="B491" s="6">
        <f t="shared" si="65"/>
        <v>479</v>
      </c>
      <c r="C491" s="12" t="s">
        <v>276</v>
      </c>
      <c r="D491" s="11" t="s">
        <v>495</v>
      </c>
      <c r="E491" s="7">
        <v>109991.51</v>
      </c>
      <c r="F491" s="7"/>
      <c r="G491" s="7"/>
      <c r="H491" s="8"/>
      <c r="I491" s="7">
        <f t="shared" si="64"/>
        <v>119111.37</v>
      </c>
      <c r="J491" s="7">
        <f t="shared" si="62"/>
        <v>23822.27</v>
      </c>
      <c r="K491" s="8">
        <f t="shared" si="63"/>
        <v>142933.64000000001</v>
      </c>
    </row>
    <row r="492" spans="1:11" ht="31.5" x14ac:dyDescent="0.25">
      <c r="A492" s="6">
        <f t="shared" si="66"/>
        <v>480</v>
      </c>
      <c r="B492" s="6">
        <f t="shared" si="65"/>
        <v>480</v>
      </c>
      <c r="C492" s="12" t="s">
        <v>277</v>
      </c>
      <c r="D492" s="11" t="s">
        <v>495</v>
      </c>
      <c r="E492" s="7">
        <v>144684.17000000001</v>
      </c>
      <c r="F492" s="7"/>
      <c r="G492" s="7"/>
      <c r="H492" s="8"/>
      <c r="I492" s="7">
        <f t="shared" si="64"/>
        <v>156680.54</v>
      </c>
      <c r="J492" s="7">
        <f t="shared" si="62"/>
        <v>31336.11</v>
      </c>
      <c r="K492" s="8">
        <f t="shared" si="63"/>
        <v>188016.65</v>
      </c>
    </row>
    <row r="493" spans="1:11" ht="31.5" x14ac:dyDescent="0.25">
      <c r="A493" s="6">
        <f t="shared" si="66"/>
        <v>481</v>
      </c>
      <c r="B493" s="6">
        <f t="shared" si="65"/>
        <v>481</v>
      </c>
      <c r="C493" s="15" t="s">
        <v>278</v>
      </c>
      <c r="D493" s="14" t="s">
        <v>495</v>
      </c>
      <c r="E493" s="7">
        <v>1600787.83</v>
      </c>
      <c r="F493" s="7"/>
      <c r="G493" s="7"/>
      <c r="H493" s="8"/>
      <c r="I493" s="7">
        <f t="shared" si="64"/>
        <v>1733515.87</v>
      </c>
      <c r="J493" s="7">
        <f t="shared" si="62"/>
        <v>346703.17</v>
      </c>
      <c r="K493" s="8">
        <f t="shared" si="63"/>
        <v>2080219.04</v>
      </c>
    </row>
    <row r="494" spans="1:11" ht="18.75" x14ac:dyDescent="0.25">
      <c r="A494" s="6">
        <f t="shared" si="66"/>
        <v>482</v>
      </c>
      <c r="B494" s="6">
        <f t="shared" si="65"/>
        <v>482</v>
      </c>
      <c r="C494" s="12" t="s">
        <v>279</v>
      </c>
      <c r="D494" s="11" t="s">
        <v>495</v>
      </c>
      <c r="E494" s="7">
        <v>15584.35</v>
      </c>
      <c r="F494" s="7"/>
      <c r="G494" s="7"/>
      <c r="H494" s="8"/>
      <c r="I494" s="7">
        <f t="shared" si="64"/>
        <v>16876.509999999998</v>
      </c>
      <c r="J494" s="7">
        <f t="shared" si="62"/>
        <v>3375.3</v>
      </c>
      <c r="K494" s="8">
        <f t="shared" si="63"/>
        <v>20251.810000000001</v>
      </c>
    </row>
    <row r="495" spans="1:11" ht="18.75" x14ac:dyDescent="0.25">
      <c r="A495" s="6">
        <f t="shared" si="66"/>
        <v>483</v>
      </c>
      <c r="B495" s="6">
        <f t="shared" si="65"/>
        <v>483</v>
      </c>
      <c r="C495" s="12" t="s">
        <v>280</v>
      </c>
      <c r="D495" s="11" t="s">
        <v>495</v>
      </c>
      <c r="E495" s="7">
        <v>17040.669999999998</v>
      </c>
      <c r="F495" s="7"/>
      <c r="G495" s="7"/>
      <c r="H495" s="8"/>
      <c r="I495" s="7">
        <f t="shared" si="64"/>
        <v>18453.580000000002</v>
      </c>
      <c r="J495" s="7">
        <f t="shared" si="62"/>
        <v>3690.72</v>
      </c>
      <c r="K495" s="8">
        <f t="shared" si="63"/>
        <v>22144.3</v>
      </c>
    </row>
    <row r="496" spans="1:11" ht="18.75" x14ac:dyDescent="0.25">
      <c r="A496" s="6">
        <f t="shared" si="66"/>
        <v>484</v>
      </c>
      <c r="B496" s="6">
        <f>B495+1</f>
        <v>484</v>
      </c>
      <c r="C496" s="12" t="s">
        <v>281</v>
      </c>
      <c r="D496" s="11" t="s">
        <v>495</v>
      </c>
      <c r="E496" s="7">
        <v>40293.910000000003</v>
      </c>
      <c r="F496" s="7"/>
      <c r="G496" s="7"/>
      <c r="H496" s="8"/>
      <c r="I496" s="7">
        <f t="shared" si="64"/>
        <v>43634.85</v>
      </c>
      <c r="J496" s="7">
        <f t="shared" si="62"/>
        <v>8726.9699999999993</v>
      </c>
      <c r="K496" s="8">
        <f t="shared" si="63"/>
        <v>52361.82</v>
      </c>
    </row>
    <row r="497" spans="1:11" ht="18.75" x14ac:dyDescent="0.3">
      <c r="A497" s="3"/>
      <c r="B497" s="3"/>
      <c r="C497" s="5" t="s">
        <v>0</v>
      </c>
      <c r="D497" s="3"/>
      <c r="E497" s="21">
        <f>SUM(K13:K496)</f>
        <v>54970110.380000003</v>
      </c>
      <c r="F497" s="21"/>
      <c r="G497" s="21"/>
      <c r="H497" s="21"/>
      <c r="I497" s="21"/>
      <c r="J497" s="21"/>
      <c r="K497" s="21"/>
    </row>
    <row r="499" spans="1:11" ht="37.5" customHeight="1" x14ac:dyDescent="0.25">
      <c r="C499" s="9"/>
      <c r="D499" s="9"/>
    </row>
    <row r="500" spans="1:11" ht="27" customHeight="1" x14ac:dyDescent="0.25">
      <c r="C500" s="9"/>
      <c r="D500" s="9"/>
    </row>
  </sheetData>
  <mergeCells count="20">
    <mergeCell ref="A8:K8"/>
    <mergeCell ref="D9:D10"/>
    <mergeCell ref="A9:A10"/>
    <mergeCell ref="B9:B10"/>
    <mergeCell ref="E497:K497"/>
    <mergeCell ref="J9:J10"/>
    <mergeCell ref="K9:K10"/>
    <mergeCell ref="E9:E10"/>
    <mergeCell ref="F9:F10"/>
    <mergeCell ref="G9:G10"/>
    <mergeCell ref="H9:H10"/>
    <mergeCell ref="I9:I10"/>
    <mergeCell ref="A12:K12"/>
    <mergeCell ref="C9:C10"/>
    <mergeCell ref="A7:K7"/>
    <mergeCell ref="A1:K1"/>
    <mergeCell ref="A2:K2"/>
    <mergeCell ref="A3:K3"/>
    <mergeCell ref="A4:K4"/>
    <mergeCell ref="A5:K5"/>
  </mergeCells>
  <phoneticPr fontId="1" type="noConversion"/>
  <pageMargins left="0.39370078740157483" right="0.39370078740157483" top="0.19685039370078741" bottom="0.19685039370078741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 1</vt:lpstr>
      <vt:lpstr>'Лист 1'!Print_Area</vt:lpstr>
      <vt:lpstr>'Лист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2025-12-01T06:43:23Z</dcterms:modified>
</cp:coreProperties>
</file>