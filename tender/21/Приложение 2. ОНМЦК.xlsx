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170" yWindow="1170" windowWidth="19605" windowHeight="10260"/>
  </bookViews>
  <sheets>
    <sheet name="Лист1" sheetId="1" r:id="rId1"/>
  </sheets>
  <definedNames>
    <definedName name="Количествообъектов">Лист1!$F$6</definedName>
    <definedName name="Наименованиеобъектазакупки">Лист1!$C$6</definedName>
    <definedName name="НМЦК">Лист1!$J$6</definedName>
    <definedName name="_xlnm.Print_Area" localSheetId="0">Лист1!$B$1:$J$18</definedName>
    <definedName name="Предельнаяценаза1м2">Лист1!$H$6</definedName>
    <definedName name="Титул">Лист1!$B$1</definedName>
  </definedNames>
  <calcPr calcId="124519" iterateDelta="1E-4"/>
</workbook>
</file>

<file path=xl/calcChain.xml><?xml version="1.0" encoding="utf-8"?>
<calcChain xmlns="http://schemas.openxmlformats.org/spreadsheetml/2006/main">
  <c r="I7" i="1"/>
  <c r="I6"/>
  <c r="I11"/>
  <c r="I10"/>
  <c r="I9"/>
  <c r="I8"/>
  <c r="J12" l="1"/>
</calcChain>
</file>

<file path=xl/sharedStrings.xml><?xml version="1.0" encoding="utf-8"?>
<sst xmlns="http://schemas.openxmlformats.org/spreadsheetml/2006/main" count="21" uniqueCount="21">
  <si>
    <t>№</t>
  </si>
  <si>
    <t>Наименование предмета контракта</t>
  </si>
  <si>
    <t>Единица измерения</t>
  </si>
  <si>
    <t>Объект</t>
  </si>
  <si>
    <t>Итого:</t>
  </si>
  <si>
    <t>Н(М)ЦК, ЦКЕП, применен Нормативный метод*</t>
  </si>
  <si>
    <r>
      <rPr>
        <b/>
        <i/>
        <sz val="8"/>
        <rFont val="Times New Roman"/>
        <family val="1"/>
        <charset val="204"/>
      </rPr>
      <t>Расчет Н(М)ЦК по формуле</t>
    </r>
    <r>
      <rPr>
        <i/>
        <sz val="8"/>
        <rFont val="Times New Roman"/>
        <family val="1"/>
        <charset val="204"/>
      </rPr>
      <t xml:space="preserve">                             v - количество (объем) закупаемого товара (работы, услуги);
Цnред - предельная цена единицы товара, работы, услуги, установленная в рамках нормирования в сфере закупок.</t>
    </r>
  </si>
  <si>
    <t>Минимальная площадь,  кв.м.</t>
  </si>
  <si>
    <t>Квартира-1</t>
  </si>
  <si>
    <t>Квартира-2</t>
  </si>
  <si>
    <t>Квартира-3</t>
  </si>
  <si>
    <t>Квартира-4</t>
  </si>
  <si>
    <t>Квартира-5</t>
  </si>
  <si>
    <t>Квартира-6</t>
  </si>
  <si>
    <t>* При определении Н(М)ЦК контракта Заказчиком применен Приказ Министерства строительства Республики Саха (Якутия) №477 от 24.10.2025 “Об утверждении стоимости одного квадратного метра общей площади жилого помещения для определения по этапам 2025-2026 годов размера предельной стоимости одного квадратного метра общей площади жилых помещений, используемого при приобретении (строительстве) жилых помещений</t>
  </si>
  <si>
    <t>Комнаты, кол-во</t>
  </si>
  <si>
    <t>Цена за 1 ед., руб.</t>
  </si>
  <si>
    <t>Н(М)ЦК на приобретение квартир, руб.</t>
  </si>
  <si>
    <t>Кол-во объектов</t>
  </si>
  <si>
    <t>Приобретение 6 (шести) жилых помещений (благоустроенных квартир) путем участия в долевом строительстве многоквартирного дома в г. Якутске, Республики Саха (Якутия), в рамках реализации республиканской адресной программы «Переселение граждан из аварийного жилищного фонда, признанного таковым после 1 января 2017 года».</t>
  </si>
  <si>
    <t>. Обоснование начальной (максимальной) цены контракта (Н(М)ЦК) на Приобретение 6 (шести) жилых помещений (благоустроенных квартир) путем участия в долевом строительстве многоквартирного дома в г. Якутске, Республики Саха (Якутия), в рамках реализации республиканской адресной программы «Переселение граждан из аварийного жилищного фонда, признанного таковым после 1 января 2017 года».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</si>
</sst>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0" borderId="2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134937</xdr:colOff>
      <xdr:row>4</xdr:row>
      <xdr:rowOff>1222374</xdr:rowOff>
    </xdr:from>
    <xdr:to>
      <xdr:col>7</xdr:col>
      <xdr:colOff>1452563</xdr:colOff>
      <xdr:row>4</xdr:row>
      <xdr:rowOff>1428749</xdr:rowOff>
    </xdr:to>
    <xdr:pic>
      <xdr:nvPicPr>
        <xdr:cNvPr id="6" name="Рисунок 5" descr="Ð¤Ð¾ÑÐ¼ÑÐ»Ð° ÐÐÐ¦Ð Ð½Ð¾ÑÐ¼Ð°ÑÐ¸Ð²Ð½ÑÐ¹ Ð¼ÐµÑÐ¾Ð´.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001000" y="2619374"/>
          <a:ext cx="1317626" cy="206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MK19"/>
  <sheetViews>
    <sheetView tabSelected="1" zoomScaleSheetLayoutView="115" workbookViewId="0">
      <selection activeCell="L9" sqref="L9"/>
    </sheetView>
  </sheetViews>
  <sheetFormatPr defaultColWidth="8.875" defaultRowHeight="13.5"/>
  <cols>
    <col min="1" max="1" width="8.875" style="1"/>
    <col min="2" max="2" width="3.875" style="1" customWidth="1"/>
    <col min="3" max="3" width="44" style="1" customWidth="1"/>
    <col min="4" max="4" width="14.625" style="1" customWidth="1"/>
    <col min="5" max="5" width="9.625" style="1" customWidth="1"/>
    <col min="6" max="6" width="9.125" style="1" customWidth="1"/>
    <col min="7" max="7" width="10.125" style="1" customWidth="1"/>
    <col min="8" max="8" width="23.125" style="1" customWidth="1"/>
    <col min="9" max="9" width="17.625" style="1" customWidth="1"/>
    <col min="10" max="10" width="21.625" style="1" customWidth="1"/>
    <col min="11" max="16384" width="8.875" style="1"/>
  </cols>
  <sheetData>
    <row r="1" spans="1:1025" ht="42.75" customHeight="1">
      <c r="B1" s="22" t="s">
        <v>20</v>
      </c>
      <c r="C1" s="22"/>
      <c r="D1" s="22"/>
      <c r="E1" s="22"/>
      <c r="F1" s="22"/>
      <c r="G1" s="22"/>
      <c r="H1" s="22"/>
      <c r="I1" s="22"/>
      <c r="J1" s="22"/>
    </row>
    <row r="2" spans="1:1025" hidden="1">
      <c r="B2" s="7"/>
      <c r="C2" s="7"/>
      <c r="D2" s="7"/>
      <c r="E2" s="7"/>
      <c r="F2" s="7"/>
      <c r="G2" s="7"/>
      <c r="H2" s="7"/>
      <c r="I2" s="7"/>
      <c r="J2" s="7"/>
    </row>
    <row r="3" spans="1:1025" ht="28.5" customHeight="1">
      <c r="B3" s="7"/>
      <c r="C3" s="7"/>
      <c r="D3" s="7"/>
      <c r="E3" s="7"/>
      <c r="F3" s="7"/>
      <c r="G3" s="7"/>
      <c r="H3" s="7"/>
      <c r="I3" s="7"/>
      <c r="J3" s="7"/>
    </row>
    <row r="4" spans="1:1025" ht="27.75" customHeight="1">
      <c r="B4" s="23" t="s">
        <v>0</v>
      </c>
      <c r="C4" s="24" t="s">
        <v>1</v>
      </c>
      <c r="D4" s="36" t="s">
        <v>3</v>
      </c>
      <c r="E4" s="37"/>
      <c r="F4" s="38"/>
      <c r="G4" s="20" t="s">
        <v>2</v>
      </c>
      <c r="H4" s="23" t="s">
        <v>5</v>
      </c>
      <c r="I4" s="23"/>
      <c r="J4" s="23"/>
    </row>
    <row r="5" spans="1:1025" ht="119.25" customHeight="1">
      <c r="B5" s="23"/>
      <c r="C5" s="25"/>
      <c r="D5" s="9"/>
      <c r="E5" s="8" t="s">
        <v>15</v>
      </c>
      <c r="F5" s="10" t="s">
        <v>18</v>
      </c>
      <c r="G5" s="10" t="s">
        <v>7</v>
      </c>
      <c r="H5" s="11" t="s">
        <v>6</v>
      </c>
      <c r="I5" s="8" t="s">
        <v>16</v>
      </c>
      <c r="J5" s="8" t="s">
        <v>17</v>
      </c>
    </row>
    <row r="6" spans="1:1025" ht="23.25" customHeight="1">
      <c r="B6" s="28">
        <v>1</v>
      </c>
      <c r="C6" s="30" t="s">
        <v>19</v>
      </c>
      <c r="D6" s="12" t="s">
        <v>8</v>
      </c>
      <c r="E6" s="8">
        <v>1</v>
      </c>
      <c r="F6" s="13">
        <v>1</v>
      </c>
      <c r="G6" s="14">
        <v>44.63</v>
      </c>
      <c r="H6" s="32">
        <v>152988</v>
      </c>
      <c r="I6" s="19">
        <f>G6*$H$6</f>
        <v>6827854.4400000004</v>
      </c>
      <c r="J6" s="34">
        <v>38862011.760000005</v>
      </c>
    </row>
    <row r="7" spans="1:1025" customFormat="1" ht="22.5" customHeight="1">
      <c r="A7" s="15"/>
      <c r="B7" s="29"/>
      <c r="C7" s="31"/>
      <c r="D7" s="16" t="s">
        <v>9</v>
      </c>
      <c r="E7" s="17">
        <v>1</v>
      </c>
      <c r="F7" s="18">
        <v>1</v>
      </c>
      <c r="G7" s="19">
        <v>39.299999999999997</v>
      </c>
      <c r="H7" s="33"/>
      <c r="I7" s="19">
        <f>G7*$H$6</f>
        <v>6012428.3999999994</v>
      </c>
      <c r="J7" s="3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  <c r="AMK7" s="15"/>
    </row>
    <row r="8" spans="1:1025" customFormat="1" ht="20.25" customHeight="1">
      <c r="A8" s="15"/>
      <c r="B8" s="29"/>
      <c r="C8" s="31"/>
      <c r="D8" s="16" t="s">
        <v>10</v>
      </c>
      <c r="E8" s="17">
        <v>1</v>
      </c>
      <c r="F8" s="18">
        <v>1</v>
      </c>
      <c r="G8" s="19">
        <v>42.6</v>
      </c>
      <c r="H8" s="33"/>
      <c r="I8" s="19">
        <f t="shared" ref="I8:I11" si="0">G8*$H$6</f>
        <v>6517288.7999999998</v>
      </c>
      <c r="J8" s="3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</row>
    <row r="9" spans="1:1025" customFormat="1" ht="20.25" customHeight="1">
      <c r="A9" s="15"/>
      <c r="B9" s="29"/>
      <c r="C9" s="31"/>
      <c r="D9" s="16" t="s">
        <v>11</v>
      </c>
      <c r="E9" s="17">
        <v>1</v>
      </c>
      <c r="F9" s="18">
        <v>1</v>
      </c>
      <c r="G9" s="19">
        <v>47.38</v>
      </c>
      <c r="H9" s="33"/>
      <c r="I9" s="19">
        <f t="shared" si="0"/>
        <v>7248571.4400000004</v>
      </c>
      <c r="J9" s="3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  <c r="AMK9" s="15"/>
    </row>
    <row r="10" spans="1:1025" customFormat="1" ht="20.25" customHeight="1">
      <c r="A10" s="15"/>
      <c r="B10" s="29"/>
      <c r="C10" s="31"/>
      <c r="D10" s="16" t="s">
        <v>12</v>
      </c>
      <c r="E10" s="17">
        <v>1</v>
      </c>
      <c r="F10" s="18">
        <v>1</v>
      </c>
      <c r="G10" s="19">
        <v>49.6</v>
      </c>
      <c r="H10" s="33"/>
      <c r="I10" s="19">
        <f t="shared" si="0"/>
        <v>7588204.7999999998</v>
      </c>
      <c r="J10" s="3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  <c r="AMK10" s="15"/>
    </row>
    <row r="11" spans="1:1025" customFormat="1" ht="20.25" customHeight="1">
      <c r="A11" s="15"/>
      <c r="B11" s="29"/>
      <c r="C11" s="31"/>
      <c r="D11" s="16" t="s">
        <v>13</v>
      </c>
      <c r="E11" s="17">
        <v>1</v>
      </c>
      <c r="F11" s="18">
        <v>1</v>
      </c>
      <c r="G11" s="19">
        <v>30.51</v>
      </c>
      <c r="H11" s="33"/>
      <c r="I11" s="19">
        <f t="shared" si="0"/>
        <v>4667663.88</v>
      </c>
      <c r="J11" s="3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</row>
    <row r="12" spans="1:1025" ht="21" customHeight="1">
      <c r="B12" s="4"/>
      <c r="C12" s="6" t="s">
        <v>4</v>
      </c>
      <c r="D12" s="26"/>
      <c r="E12" s="27"/>
      <c r="F12" s="27"/>
      <c r="G12" s="27"/>
      <c r="H12" s="27"/>
      <c r="I12" s="27"/>
      <c r="J12" s="5">
        <f>J6</f>
        <v>38862011.760000005</v>
      </c>
    </row>
    <row r="13" spans="1:1025" ht="34.5" customHeight="1">
      <c r="B13" s="21" t="s">
        <v>14</v>
      </c>
      <c r="C13" s="21"/>
      <c r="D13" s="21"/>
      <c r="E13" s="21"/>
      <c r="F13" s="21"/>
      <c r="G13" s="21"/>
      <c r="H13" s="21"/>
      <c r="I13" s="21"/>
      <c r="J13" s="21"/>
      <c r="K13" s="2"/>
    </row>
    <row r="14" spans="1:1025" ht="18.75" customHeight="1">
      <c r="B14" s="3"/>
      <c r="C14" s="3"/>
      <c r="D14" s="3"/>
      <c r="E14" s="3"/>
      <c r="F14" s="3"/>
      <c r="G14" s="3"/>
      <c r="H14" s="3"/>
      <c r="I14" s="3"/>
      <c r="J14" s="3"/>
      <c r="K14" s="2"/>
    </row>
    <row r="17" ht="26.25" customHeight="1"/>
    <row r="19" ht="35.25" customHeight="1"/>
  </sheetData>
  <mergeCells count="11">
    <mergeCell ref="B13:J13"/>
    <mergeCell ref="B1:J1"/>
    <mergeCell ref="H4:J4"/>
    <mergeCell ref="B4:B5"/>
    <mergeCell ref="C4:C5"/>
    <mergeCell ref="D12:I12"/>
    <mergeCell ref="B6:B11"/>
    <mergeCell ref="C6:C11"/>
    <mergeCell ref="H6:H11"/>
    <mergeCell ref="J6:J11"/>
    <mergeCell ref="D4:F4"/>
  </mergeCells>
  <phoneticPr fontId="15" type="noConversion"/>
  <pageMargins left="0.28999999999999998" right="0.22" top="0.67" bottom="0.74803149606299213" header="0.31496062992125984" footer="0.31496062992125984"/>
  <pageSetup paperSize="9" scale="92" fitToHeight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Количествообъектов</vt:lpstr>
      <vt:lpstr>Наименованиеобъектазакупки</vt:lpstr>
      <vt:lpstr>НМЦК</vt:lpstr>
      <vt:lpstr>Лист1!Область_печати</vt:lpstr>
      <vt:lpstr>Предельнаяценаза1м2</vt:lpstr>
      <vt:lpstr>Титул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Федоров</dc:creator>
  <cp:lastModifiedBy>user</cp:lastModifiedBy>
  <cp:lastPrinted>2019-04-30T02:09:54Z</cp:lastPrinted>
  <dcterms:created xsi:type="dcterms:W3CDTF">2015-02-16T08:10:57Z</dcterms:created>
  <dcterms:modified xsi:type="dcterms:W3CDTF">2025-11-24T07:36:26Z</dcterms:modified>
</cp:coreProperties>
</file>