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ЗАЯВКИ июль-август-сентябрь-октябрь-ноябрь 2025\23836 организ лечеб питания\"/>
    </mc:Choice>
  </mc:AlternateContent>
  <xr:revisionPtr revIDLastSave="0" documentId="13_ncr:1_{53AEE391-87F6-45F5-B375-122DC8E261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асчет цены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6" l="1"/>
  <c r="N6" i="6"/>
  <c r="H6" i="6" l="1"/>
  <c r="M6" i="6" s="1"/>
  <c r="N7" i="6" s="1"/>
  <c r="I6" i="6"/>
  <c r="J6" i="6" l="1"/>
</calcChain>
</file>

<file path=xl/sharedStrings.xml><?xml version="1.0" encoding="utf-8"?>
<sst xmlns="http://schemas.openxmlformats.org/spreadsheetml/2006/main" count="23" uniqueCount="23">
  <si>
    <t>№</t>
  </si>
  <si>
    <t>Наименование предмета контракта</t>
  </si>
  <si>
    <t>Кол-во</t>
  </si>
  <si>
    <t>Однородность совокупности значений выявленных цен, используемых в расчете Н(М)ЦК, ЦКЕП</t>
  </si>
  <si>
    <t>Н(М)ЦК, ЦКЕП, определяемая методом сопоставимых рыночных цен (анализа рынка)*</t>
  </si>
  <si>
    <t>Среднее квадратичное отклонение</t>
  </si>
  <si>
    <t>Цена за единицу изм. (руб.)</t>
  </si>
  <si>
    <t>Цена за единицу изм. с округлением (вниз) до сотых долей после запятой (руб.)</t>
  </si>
  <si>
    <t>Н(М)ЦК, ЦКЕП контракта с учетом округления цены за единицу (руб.)</t>
  </si>
  <si>
    <t xml:space="preserve">* При определении Н(М)ЦК контракта Заказчиком применяется Приказ Минэкономразвития России от 02.10.2013 N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исполнителем)". 
</t>
  </si>
  <si>
    <t>Начальная (максимальная) цена контракта, руб.</t>
  </si>
  <si>
    <t>ИТОГО</t>
  </si>
  <si>
    <r>
      <rPr>
        <b/>
        <sz val="10"/>
        <color indexed="8"/>
        <rFont val="Times New Roman"/>
        <family val="1"/>
        <charset val="204"/>
      </rPr>
      <t>Расчет Н(М)ЦК по формуле</t>
    </r>
    <r>
      <rPr>
        <sz val="10"/>
        <color indexed="8"/>
        <rFont val="Times New Roman"/>
        <family val="1"/>
        <charset val="204"/>
      </rPr>
      <t xml:space="preserve"> 
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  </r>
  </si>
  <si>
    <r>
      <t xml:space="preserve">коэффициент вариации цен V (%) </t>
    </r>
    <r>
      <rPr>
        <i/>
        <sz val="10"/>
        <color indexed="8"/>
        <rFont val="Times New Roman"/>
        <family val="1"/>
        <charset val="204"/>
      </rPr>
      <t>(не должен превышать 33%)</t>
    </r>
  </si>
  <si>
    <t xml:space="preserve">Средняя цена за единицу &lt;ц&gt; </t>
  </si>
  <si>
    <t>Ед. изм.</t>
  </si>
  <si>
    <t>Коммерческие предложения (руб./ед.изм.)</t>
  </si>
  <si>
    <t xml:space="preserve">КП №1                </t>
  </si>
  <si>
    <t xml:space="preserve">КП №2                         </t>
  </si>
  <si>
    <t xml:space="preserve">КП №3            </t>
  </si>
  <si>
    <t>койко -дней</t>
  </si>
  <si>
    <t xml:space="preserve">Оказание услуг по организации лечебного питания пациентов </t>
  </si>
  <si>
    <t>Приложение 2 Обоснование начальной (максимальной) цены контракта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</si>
</sst>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0" x14ac:knownFonts="1"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6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2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4" fontId="7" fillId="0" borderId="0" xfId="0" applyNumberFormat="1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" fontId="6" fillId="0" borderId="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2" fontId="7" fillId="0" borderId="0" xfId="0" applyNumberFormat="1" applyFont="1" applyBorder="1" applyAlignment="1">
      <alignment vertical="center"/>
    </xf>
    <xf numFmtId="0" fontId="1" fillId="0" borderId="5" xfId="0" applyFont="1" applyFill="1" applyBorder="1" applyAlignment="1">
      <alignment horizontal="center" vertical="center" wrapText="1"/>
    </xf>
    <xf numFmtId="10" fontId="6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39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left" wrapText="1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right"/>
    </xf>
    <xf numFmtId="0" fontId="3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right" vertical="center" wrapText="1"/>
    </xf>
    <xf numFmtId="4" fontId="7" fillId="0" borderId="7" xfId="0" applyNumberFormat="1" applyFont="1" applyBorder="1" applyAlignment="1">
      <alignment horizontal="right" vertical="center" wrapText="1"/>
    </xf>
    <xf numFmtId="4" fontId="7" fillId="0" borderId="2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4</xdr:row>
      <xdr:rowOff>828675</xdr:rowOff>
    </xdr:from>
    <xdr:to>
      <xdr:col>9</xdr:col>
      <xdr:colOff>942975</xdr:colOff>
      <xdr:row>4</xdr:row>
      <xdr:rowOff>1181100</xdr:rowOff>
    </xdr:to>
    <xdr:pic>
      <xdr:nvPicPr>
        <xdr:cNvPr id="4785" name="Picture 1">
          <a:extLst>
            <a:ext uri="{FF2B5EF4-FFF2-40B4-BE49-F238E27FC236}">
              <a16:creationId xmlns:a16="http://schemas.microsoft.com/office/drawing/2014/main" id="{C5F19969-D195-4BAF-AB70-A29F71012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2533650"/>
          <a:ext cx="9334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4</xdr:row>
      <xdr:rowOff>600075</xdr:rowOff>
    </xdr:from>
    <xdr:to>
      <xdr:col>8</xdr:col>
      <xdr:colOff>1019175</xdr:colOff>
      <xdr:row>4</xdr:row>
      <xdr:rowOff>1038225</xdr:rowOff>
    </xdr:to>
    <xdr:pic>
      <xdr:nvPicPr>
        <xdr:cNvPr id="4786" name="Picture 2">
          <a:extLst>
            <a:ext uri="{FF2B5EF4-FFF2-40B4-BE49-F238E27FC236}">
              <a16:creationId xmlns:a16="http://schemas.microsoft.com/office/drawing/2014/main" id="{A200E4C1-F32B-4335-B1DB-A801A1BDD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2305050"/>
          <a:ext cx="10001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19050</xdr:colOff>
      <xdr:row>4</xdr:row>
      <xdr:rowOff>1600200</xdr:rowOff>
    </xdr:from>
    <xdr:to>
      <xdr:col>10</xdr:col>
      <xdr:colOff>1504950</xdr:colOff>
      <xdr:row>4</xdr:row>
      <xdr:rowOff>1962150</xdr:rowOff>
    </xdr:to>
    <xdr:pic>
      <xdr:nvPicPr>
        <xdr:cNvPr id="4787" name="Picture 5">
          <a:extLst>
            <a:ext uri="{FF2B5EF4-FFF2-40B4-BE49-F238E27FC236}">
              <a16:creationId xmlns:a16="http://schemas.microsoft.com/office/drawing/2014/main" id="{EEBBF226-0E6F-4FD3-8948-5D92B92E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3305175"/>
          <a:ext cx="14859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266700</xdr:colOff>
      <xdr:row>4</xdr:row>
      <xdr:rowOff>1400175</xdr:rowOff>
    </xdr:from>
    <xdr:to>
      <xdr:col>10</xdr:col>
      <xdr:colOff>419100</xdr:colOff>
      <xdr:row>4</xdr:row>
      <xdr:rowOff>1628775</xdr:rowOff>
    </xdr:to>
    <xdr:pic>
      <xdr:nvPicPr>
        <xdr:cNvPr id="4788" name="Picture 6">
          <a:extLst>
            <a:ext uri="{FF2B5EF4-FFF2-40B4-BE49-F238E27FC236}">
              <a16:creationId xmlns:a16="http://schemas.microsoft.com/office/drawing/2014/main" id="{1B9D0FDB-61E9-4E45-BAAB-6E0C95610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3105150"/>
          <a:ext cx="152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9525</xdr:colOff>
      <xdr:row>4</xdr:row>
      <xdr:rowOff>828675</xdr:rowOff>
    </xdr:from>
    <xdr:to>
      <xdr:col>9</xdr:col>
      <xdr:colOff>942975</xdr:colOff>
      <xdr:row>4</xdr:row>
      <xdr:rowOff>1181100</xdr:rowOff>
    </xdr:to>
    <xdr:pic>
      <xdr:nvPicPr>
        <xdr:cNvPr id="4789" name="Picture 1">
          <a:extLst>
            <a:ext uri="{FF2B5EF4-FFF2-40B4-BE49-F238E27FC236}">
              <a16:creationId xmlns:a16="http://schemas.microsoft.com/office/drawing/2014/main" id="{4C4A8BA5-4933-4A93-A719-65AFDFD34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2533650"/>
          <a:ext cx="9334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4</xdr:row>
      <xdr:rowOff>600075</xdr:rowOff>
    </xdr:from>
    <xdr:to>
      <xdr:col>8</xdr:col>
      <xdr:colOff>1019175</xdr:colOff>
      <xdr:row>4</xdr:row>
      <xdr:rowOff>1038225</xdr:rowOff>
    </xdr:to>
    <xdr:pic>
      <xdr:nvPicPr>
        <xdr:cNvPr id="4790" name="Picture 2">
          <a:extLst>
            <a:ext uri="{FF2B5EF4-FFF2-40B4-BE49-F238E27FC236}">
              <a16:creationId xmlns:a16="http://schemas.microsoft.com/office/drawing/2014/main" id="{DEBFF1D7-A98F-4FA4-96A5-526B4E2C6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2305050"/>
          <a:ext cx="10001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19050</xdr:colOff>
      <xdr:row>4</xdr:row>
      <xdr:rowOff>1600200</xdr:rowOff>
    </xdr:from>
    <xdr:to>
      <xdr:col>10</xdr:col>
      <xdr:colOff>1504950</xdr:colOff>
      <xdr:row>4</xdr:row>
      <xdr:rowOff>1962150</xdr:rowOff>
    </xdr:to>
    <xdr:pic>
      <xdr:nvPicPr>
        <xdr:cNvPr id="4791" name="Picture 5">
          <a:extLst>
            <a:ext uri="{FF2B5EF4-FFF2-40B4-BE49-F238E27FC236}">
              <a16:creationId xmlns:a16="http://schemas.microsoft.com/office/drawing/2014/main" id="{161AA730-2D3C-4411-8714-79071533B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3305175"/>
          <a:ext cx="14859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266700</xdr:colOff>
      <xdr:row>4</xdr:row>
      <xdr:rowOff>1400175</xdr:rowOff>
    </xdr:from>
    <xdr:to>
      <xdr:col>10</xdr:col>
      <xdr:colOff>419100</xdr:colOff>
      <xdr:row>4</xdr:row>
      <xdr:rowOff>1628775</xdr:rowOff>
    </xdr:to>
    <xdr:pic>
      <xdr:nvPicPr>
        <xdr:cNvPr id="4792" name="Picture 6">
          <a:extLst>
            <a:ext uri="{FF2B5EF4-FFF2-40B4-BE49-F238E27FC236}">
              <a16:creationId xmlns:a16="http://schemas.microsoft.com/office/drawing/2014/main" id="{8D7ABA71-8C7B-4703-AD8D-F5D3E95C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3105150"/>
          <a:ext cx="152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"/>
  <sheetViews>
    <sheetView tabSelected="1" zoomScale="85" zoomScaleNormal="85" workbookViewId="0">
      <selection activeCell="C7" sqref="C7:M7"/>
    </sheetView>
  </sheetViews>
  <sheetFormatPr defaultRowHeight="12.75" x14ac:dyDescent="0.2"/>
  <cols>
    <col min="1" max="1" width="3.42578125" style="1" customWidth="1"/>
    <col min="2" max="2" width="26.28515625" style="1" customWidth="1"/>
    <col min="3" max="3" width="6.5703125" style="1" customWidth="1"/>
    <col min="4" max="4" width="10.28515625" style="1" bestFit="1" customWidth="1"/>
    <col min="5" max="5" width="14.85546875" style="1" customWidth="1"/>
    <col min="6" max="6" width="12.42578125" style="1" customWidth="1"/>
    <col min="7" max="7" width="12.7109375" style="1" bestFit="1" customWidth="1"/>
    <col min="8" max="8" width="11.7109375" style="1" bestFit="1" customWidth="1"/>
    <col min="9" max="9" width="15.42578125" style="1" customWidth="1"/>
    <col min="10" max="10" width="14.28515625" style="1" customWidth="1"/>
    <col min="11" max="11" width="22.7109375" style="1" customWidth="1"/>
    <col min="12" max="12" width="11.7109375" style="1" bestFit="1" customWidth="1"/>
    <col min="13" max="13" width="11.7109375" style="1" customWidth="1"/>
    <col min="14" max="14" width="14.5703125" style="1" customWidth="1"/>
    <col min="15" max="16384" width="9.140625" style="1"/>
  </cols>
  <sheetData>
    <row r="1" spans="1:16" ht="64.5" customHeight="1" x14ac:dyDescent="0.25">
      <c r="K1" s="29"/>
      <c r="L1" s="30"/>
      <c r="M1" s="30"/>
      <c r="N1" s="30"/>
    </row>
    <row r="2" spans="1:16" ht="14.25" x14ac:dyDescent="0.2">
      <c r="A2" s="31" t="s">
        <v>22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6" ht="16.5" customHeight="1" x14ac:dyDescent="0.2">
      <c r="A3" s="2"/>
      <c r="B3" s="2"/>
      <c r="C3" s="2"/>
      <c r="D3" s="31"/>
      <c r="E3" s="31"/>
      <c r="F3" s="31"/>
      <c r="G3" s="31"/>
      <c r="H3" s="31"/>
      <c r="I3" s="31"/>
      <c r="J3" s="31"/>
      <c r="K3" s="2"/>
      <c r="L3" s="2"/>
      <c r="M3" s="2"/>
      <c r="N3" s="2"/>
    </row>
    <row r="4" spans="1:16" ht="39" customHeight="1" x14ac:dyDescent="0.2">
      <c r="A4" s="32" t="s">
        <v>0</v>
      </c>
      <c r="B4" s="32" t="s">
        <v>1</v>
      </c>
      <c r="C4" s="32" t="s">
        <v>15</v>
      </c>
      <c r="D4" s="32" t="s">
        <v>2</v>
      </c>
      <c r="E4" s="37" t="s">
        <v>16</v>
      </c>
      <c r="F4" s="37"/>
      <c r="G4" s="37"/>
      <c r="H4" s="38" t="s">
        <v>3</v>
      </c>
      <c r="I4" s="38"/>
      <c r="J4" s="38"/>
      <c r="K4" s="37" t="s">
        <v>4</v>
      </c>
      <c r="L4" s="37"/>
      <c r="M4" s="37"/>
      <c r="N4" s="37"/>
    </row>
    <row r="5" spans="1:16" ht="159" customHeight="1" x14ac:dyDescent="0.2">
      <c r="A5" s="32"/>
      <c r="B5" s="33"/>
      <c r="C5" s="32"/>
      <c r="D5" s="33"/>
      <c r="E5" s="25" t="s">
        <v>17</v>
      </c>
      <c r="F5" s="25" t="s">
        <v>18</v>
      </c>
      <c r="G5" s="25" t="s">
        <v>19</v>
      </c>
      <c r="H5" s="3" t="s">
        <v>14</v>
      </c>
      <c r="I5" s="4" t="s">
        <v>5</v>
      </c>
      <c r="J5" s="5" t="s">
        <v>13</v>
      </c>
      <c r="K5" s="19" t="s">
        <v>12</v>
      </c>
      <c r="L5" s="6" t="s">
        <v>6</v>
      </c>
      <c r="M5" s="6" t="s">
        <v>7</v>
      </c>
      <c r="N5" s="6" t="s">
        <v>8</v>
      </c>
    </row>
    <row r="6" spans="1:16" ht="38.25" x14ac:dyDescent="0.2">
      <c r="A6" s="22">
        <v>1</v>
      </c>
      <c r="B6" s="20" t="s">
        <v>21</v>
      </c>
      <c r="C6" s="24" t="s">
        <v>20</v>
      </c>
      <c r="D6" s="26">
        <v>122699</v>
      </c>
      <c r="E6" s="27">
        <v>820</v>
      </c>
      <c r="F6" s="27">
        <v>815</v>
      </c>
      <c r="G6" s="27">
        <v>817</v>
      </c>
      <c r="H6" s="7">
        <f>ROUND(AVERAGE(E6:G6),2)</f>
        <v>817.33</v>
      </c>
      <c r="I6" s="8">
        <f>STDEV(E6:G6)</f>
        <v>2.52</v>
      </c>
      <c r="J6" s="8">
        <f>I6/H6*100</f>
        <v>0.31</v>
      </c>
      <c r="K6" s="9">
        <f>H6*D6</f>
        <v>100285573.67</v>
      </c>
      <c r="L6" s="9">
        <v>815</v>
      </c>
      <c r="M6" s="9">
        <f>ROUNDDOWN(L6,2)</f>
        <v>815</v>
      </c>
      <c r="N6" s="9">
        <f>M6*D6</f>
        <v>99999685</v>
      </c>
    </row>
    <row r="7" spans="1:16" s="10" customFormat="1" ht="12.75" customHeight="1" x14ac:dyDescent="0.25">
      <c r="A7" s="11"/>
      <c r="B7" s="12" t="s">
        <v>11</v>
      </c>
      <c r="C7" s="34" t="s">
        <v>10</v>
      </c>
      <c r="D7" s="35"/>
      <c r="E7" s="35"/>
      <c r="F7" s="35"/>
      <c r="G7" s="35"/>
      <c r="H7" s="35"/>
      <c r="I7" s="35"/>
      <c r="J7" s="35"/>
      <c r="K7" s="35"/>
      <c r="L7" s="35"/>
      <c r="M7" s="36"/>
      <c r="N7" s="9">
        <f>SUM(N6:N6)</f>
        <v>99999685</v>
      </c>
      <c r="P7" s="23"/>
    </row>
    <row r="8" spans="1:16" s="17" customFormat="1" x14ac:dyDescent="0.25">
      <c r="A8" s="39"/>
      <c r="B8" s="39"/>
      <c r="C8" s="39"/>
      <c r="D8" s="39"/>
      <c r="E8" s="39"/>
      <c r="F8" s="39"/>
      <c r="G8" s="39"/>
      <c r="H8" s="13"/>
      <c r="I8" s="14"/>
      <c r="J8" s="15"/>
      <c r="K8" s="15"/>
      <c r="L8" s="15"/>
      <c r="M8" s="21"/>
      <c r="N8" s="16"/>
    </row>
    <row r="9" spans="1:16" ht="39.75" customHeight="1" x14ac:dyDescent="0.2">
      <c r="A9" s="28" t="s">
        <v>9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1" spans="1:16" x14ac:dyDescent="0.2">
      <c r="G11" s="18"/>
    </row>
  </sheetData>
  <mergeCells count="13">
    <mergeCell ref="A9:N9"/>
    <mergeCell ref="K1:N1"/>
    <mergeCell ref="A2:N2"/>
    <mergeCell ref="D3:J3"/>
    <mergeCell ref="A4:A5"/>
    <mergeCell ref="B4:B5"/>
    <mergeCell ref="C4:C5"/>
    <mergeCell ref="D4:D5"/>
    <mergeCell ref="C7:M7"/>
    <mergeCell ref="E4:G4"/>
    <mergeCell ref="H4:J4"/>
    <mergeCell ref="K4:N4"/>
    <mergeCell ref="A8:G8"/>
  </mergeCells>
  <pageMargins left="0.25" right="0.25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2025-11-20T08:17:11Z</cp:lastPrinted>
  <dcterms:created xsi:type="dcterms:W3CDTF">2011-05-12T00:51:11Z</dcterms:created>
  <dcterms:modified xsi:type="dcterms:W3CDTF">2025-11-25T02:32:56Z</dcterms:modified>
</cp:coreProperties>
</file>